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<sst xmlns="http://schemas.openxmlformats.org/spreadsheetml/2006/main" count="526" uniqueCount="122">
  <si>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</si>
  <si>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</si>
  <si>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</si>
  <si>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</si>
  <si>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</si>
  <si>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</si>
  <si>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</si>
  <si>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</si>
  <si>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</si>
  <si>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20251001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</si>
  <si>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</si>
  <si>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</si>
  <si>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</si>
  <si>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</si>
  <si>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</si>
  <si>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</si>
  <si>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</si>
  <si>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</si>
  <si>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</si>
  <si>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</si>
  <si>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</si>
  <si>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</si>
  <si>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</si>
  <si>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</si>
  <si>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</si>
  <si>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</si>
  <si>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</si>
  <si>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</si>
  <si>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</si>
  <si>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</si>
  <si>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</si>
  <si>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</si>
  <si>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</si>
  <si>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</si>
  <si>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</si>
  <si>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</si>
  <si>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</si>
  <si>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</si>
  <si>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</si>
  <si>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</si>
  <si>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</si>
  <si>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</si>
  <si>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</si>
  <si>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</si>
  <si>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</si>
  <si>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</si>
  <si>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</si>
  <si>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</si>
  <si>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</si>
  <si>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12000</t>
  </si>
  <si>
    <t>大和証券</t>
  </si>
  <si>
    <t>Daiwa Securities</t>
  </si>
  <si>
    <t>12400</t>
  </si>
  <si>
    <t>野村証券</t>
  </si>
  <si>
    <t>The Nomura Securities</t>
  </si>
  <si>
    <t>12336</t>
  </si>
  <si>
    <t>日産証券</t>
  </si>
  <si>
    <t>Nissan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</si>
  <si>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</si>
  <si>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</si>
  <si>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</si>
  <si>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</si>
  <si>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</si>
  <si>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</si>
  <si>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</si>
  <si>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</si>
  <si>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</si>
  <si>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</si>
  <si>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</si>
  <si>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</si>
  <si>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</si>
  <si>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</si>
  <si>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</si>
  <si>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</si>
  <si>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</si>
  <si>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</si>
  <si>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</si>
  <si>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</si>
  <si>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</si>
  <si>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12410</t>
  </si>
  <si>
    <t>バークレイズ証券</t>
  </si>
  <si>
    <t>Barclays Securities Japan</t>
  </si>
  <si>
    <t>11272</t>
  </si>
  <si>
    <t>岡三証券</t>
  </si>
  <si>
    <t>OKASAN SECURITIES</t>
  </si>
  <si>
    <t>TOPIXF</t>
  </si>
  <si>
    <t>160120005</t>
  </si>
  <si>
    <t>TOPIX FUT 2512</t>
  </si>
  <si>
    <t>12724</t>
  </si>
  <si>
    <t>ＨＳＢＣ証券</t>
  </si>
  <si>
    <t>HSBC Securities (Japan)</t>
  </si>
  <si>
    <t>161030005</t>
  </si>
  <si>
    <t>TOPIX FUT 2603</t>
  </si>
  <si>
    <t>NK225E</t>
  </si>
  <si>
    <t>130103518</t>
  </si>
  <si>
    <t>NIKKEI 225 OOP P2510-43500</t>
  </si>
  <si>
    <t>130103718</t>
  </si>
  <si>
    <t>NIKKEI 225 OOP P2510-43750</t>
  </si>
  <si>
    <t>130224018</t>
  </si>
  <si>
    <t>NIKKEI 225 OOP P2510-44000</t>
  </si>
  <si>
    <t>130104118</t>
  </si>
  <si>
    <t>NIKKEI 225 OOP P2510-44125</t>
  </si>
  <si>
    <t>180104218</t>
  </si>
  <si>
    <t>NIKKEI 225 OOP P2510-44250</t>
  </si>
  <si>
    <t>180104518</t>
  </si>
  <si>
    <t>NIKKEI 225 OOP P2510-44500</t>
  </si>
  <si>
    <t>180104718</t>
  </si>
  <si>
    <t>NIKKEI 225 OOP P2510-44750</t>
  </si>
  <si>
    <t>190105518</t>
  </si>
  <si>
    <t>NIKKEI 225 OOP C2510-45500</t>
  </si>
  <si>
    <t>190105218</t>
  </si>
  <si>
    <t>NIKKEI 225 OOP C2510-45250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</si>
  <si>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</si>
  <si>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</si>
  <si>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</si>
  <si>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</si>
  <si>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</si>
  <si>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</si>
  <si>
    <t>190104518</t>
  </si>
  <si>
    <t>NIKKEI 225 OOP C2510-44500</t>
  </si>
  <si>
    <t>190104218</t>
  </si>
  <si>
    <t>NIKKEI 225 OOP C2510-44250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</si>
</sst>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1591.0</f>
        <v>1591.0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1487.0</f>
        <v>1487.0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748.0</f>
        <v>748.0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577.0</f>
        <v>577.0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530.0</f>
        <v>530.0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524.0</f>
        <v>524.0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513.0</f>
        <v>513.0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396.0</f>
        <v>396.0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323.0</f>
        <v>323.0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306.0</f>
        <v>306.0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271.0</f>
        <v>271.0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242.0</f>
        <v>242.0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189.0</f>
        <v>189.0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163.0</f>
        <v>163.0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137.0</f>
        <v>137.0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111.0</f>
        <v>111.0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102.0</f>
        <v>102.0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83.0</f>
        <v>83.0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57.0</f>
        <v>57.0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34</v>
      </c>
      <c r="F29" s="4" t="s">
        <v>35</v>
      </c>
      <c r="G29" s="4" t="s">
        <v>36</v>
      </c>
      <c r="H29" s="5" t="n">
        <f>2.0</f>
        <v>2.0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2924.0</f>
        <v>2924.0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2548.0</f>
        <v>2548.0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61</v>
      </c>
      <c r="F32" s="4" t="s">
        <v>62</v>
      </c>
      <c r="G32" s="4" t="s">
        <v>63</v>
      </c>
      <c r="H32" s="5" t="n">
        <f>76.0</f>
        <v>76.0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3000.0</f>
        <v>3000.0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22</v>
      </c>
      <c r="F34" s="4" t="s">
        <v>23</v>
      </c>
      <c r="G34" s="4" t="s">
        <v>24</v>
      </c>
      <c r="H34" s="5" t="n">
        <f>1000.0</f>
        <v>1000.0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19</v>
      </c>
      <c r="F35" s="4" t="s">
        <v>20</v>
      </c>
      <c r="G35" s="4" t="s">
        <v>21</v>
      </c>
      <c r="H35" s="5" t="n">
        <f>262.0</f>
        <v>262.0</v>
      </c>
    </row>
    <row r="36">
      <c r="A36" s="3" t="s">
        <v>72</v>
      </c>
      <c r="B36" s="4" t="s">
        <v>75</v>
      </c>
      <c r="C36" s="4" t="s">
        <v>76</v>
      </c>
      <c r="D36" s="3" t="n">
        <v>4.0</v>
      </c>
      <c r="E36" s="4" t="s">
        <v>34</v>
      </c>
      <c r="F36" s="4" t="s">
        <v>35</v>
      </c>
      <c r="G36" s="4" t="s">
        <v>36</v>
      </c>
      <c r="H36" s="5" t="n">
        <f>182.0</f>
        <v>182.0</v>
      </c>
    </row>
    <row r="37">
      <c r="A37" s="3" t="s">
        <v>72</v>
      </c>
      <c r="B37" s="4" t="s">
        <v>75</v>
      </c>
      <c r="C37" s="4" t="s">
        <v>76</v>
      </c>
      <c r="D37" s="3" t="n">
        <v>5.0</v>
      </c>
      <c r="E37" s="4" t="s">
        <v>61</v>
      </c>
      <c r="F37" s="4" t="s">
        <v>62</v>
      </c>
      <c r="G37" s="4" t="s">
        <v>63</v>
      </c>
      <c r="H37" s="5" t="n">
        <f>6.0</f>
        <v>6.0</v>
      </c>
    </row>
    <row r="38">
      <c r="A38" s="3" t="s">
        <v>72</v>
      </c>
      <c r="B38" s="4" t="s">
        <v>77</v>
      </c>
      <c r="C38" s="4" t="s">
        <v>78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55756.0</f>
        <v>55756.0</v>
      </c>
    </row>
    <row r="39">
      <c r="A39" s="3" t="s">
        <v>72</v>
      </c>
      <c r="B39" s="4" t="s">
        <v>77</v>
      </c>
      <c r="C39" s="4" t="s">
        <v>78</v>
      </c>
      <c r="D39" s="3" t="n">
        <v>2.0</v>
      </c>
      <c r="E39" s="4" t="s">
        <v>34</v>
      </c>
      <c r="F39" s="4" t="s">
        <v>35</v>
      </c>
      <c r="G39" s="4" t="s">
        <v>36</v>
      </c>
      <c r="H39" s="5" t="n">
        <f>27594.0</f>
        <v>27594.0</v>
      </c>
    </row>
    <row r="40">
      <c r="A40" s="3" t="s">
        <v>72</v>
      </c>
      <c r="B40" s="4" t="s">
        <v>77</v>
      </c>
      <c r="C40" s="4" t="s">
        <v>78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6500.0</f>
        <v>6500.0</v>
      </c>
    </row>
    <row r="41">
      <c r="A41" s="3" t="s">
        <v>72</v>
      </c>
      <c r="B41" s="4" t="s">
        <v>77</v>
      </c>
      <c r="C41" s="4" t="s">
        <v>78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204.0</f>
        <v>204.0</v>
      </c>
    </row>
    <row r="42">
      <c r="A42" s="3" t="s">
        <v>72</v>
      </c>
      <c r="B42" s="4" t="s">
        <v>77</v>
      </c>
      <c r="C42" s="4" t="s">
        <v>78</v>
      </c>
      <c r="D42" s="3" t="n">
        <v>5.0</v>
      </c>
      <c r="E42" s="4" t="s">
        <v>79</v>
      </c>
      <c r="F42" s="4" t="s">
        <v>80</v>
      </c>
      <c r="G42" s="4" t="s">
        <v>81</v>
      </c>
      <c r="H42" s="5" t="n">
        <f>39.0</f>
        <v>39.0</v>
      </c>
    </row>
    <row r="43">
      <c r="A43" s="3" t="s">
        <v>72</v>
      </c>
      <c r="B43" s="4" t="s">
        <v>77</v>
      </c>
      <c r="C43" s="4" t="s">
        <v>78</v>
      </c>
      <c r="D43" s="3" t="n">
        <v>5.0</v>
      </c>
      <c r="E43" s="4" t="s">
        <v>16</v>
      </c>
      <c r="F43" s="4" t="s">
        <v>17</v>
      </c>
      <c r="G43" s="4" t="s">
        <v>18</v>
      </c>
      <c r="H43" s="5" t="n">
        <f>39.0</f>
        <v>39.0</v>
      </c>
    </row>
    <row r="44">
      <c r="A44" s="3" t="s">
        <v>72</v>
      </c>
      <c r="B44" s="4" t="s">
        <v>77</v>
      </c>
      <c r="C44" s="4" t="s">
        <v>78</v>
      </c>
      <c r="D44" s="3" t="n">
        <v>7.0</v>
      </c>
      <c r="E44" s="4" t="s">
        <v>82</v>
      </c>
      <c r="F44" s="4" t="s">
        <v>83</v>
      </c>
      <c r="G44" s="4" t="s">
        <v>84</v>
      </c>
      <c r="H44" s="5" t="n">
        <f>3.0</f>
        <v>3.0</v>
      </c>
    </row>
    <row r="45">
      <c r="A45" s="3" t="s">
        <v>72</v>
      </c>
      <c r="B45" s="4" t="s">
        <v>77</v>
      </c>
      <c r="C45" s="4" t="s">
        <v>78</v>
      </c>
      <c r="D45" s="3" t="n">
        <v>7.0</v>
      </c>
      <c r="E45" s="4" t="s">
        <v>46</v>
      </c>
      <c r="F45" s="4" t="s">
        <v>47</v>
      </c>
      <c r="G45" s="4" t="s">
        <v>48</v>
      </c>
      <c r="H45" s="5" t="n">
        <f>3.0</f>
        <v>3.0</v>
      </c>
    </row>
    <row r="46">
      <c r="A46" s="3" t="s">
        <v>85</v>
      </c>
      <c r="B46" s="4" t="s">
        <v>86</v>
      </c>
      <c r="C46" s="4" t="s">
        <v>87</v>
      </c>
      <c r="D46" s="3" t="n">
        <v>1.0</v>
      </c>
      <c r="E46" s="4" t="s">
        <v>37</v>
      </c>
      <c r="F46" s="4" t="s">
        <v>38</v>
      </c>
      <c r="G46" s="4" t="s">
        <v>39</v>
      </c>
      <c r="H46" s="5" t="n">
        <f>13493.0</f>
        <v>13493.0</v>
      </c>
    </row>
    <row r="47">
      <c r="A47" s="3" t="s">
        <v>85</v>
      </c>
      <c r="B47" s="4" t="s">
        <v>86</v>
      </c>
      <c r="C47" s="4" t="s">
        <v>87</v>
      </c>
      <c r="D47" s="3" t="n">
        <v>2.0</v>
      </c>
      <c r="E47" s="4" t="s">
        <v>13</v>
      </c>
      <c r="F47" s="4" t="s">
        <v>14</v>
      </c>
      <c r="G47" s="4" t="s">
        <v>15</v>
      </c>
      <c r="H47" s="5" t="n">
        <f>6273.0</f>
        <v>6273.0</v>
      </c>
    </row>
    <row r="48">
      <c r="A48" s="3" t="s">
        <v>85</v>
      </c>
      <c r="B48" s="4" t="s">
        <v>86</v>
      </c>
      <c r="C48" s="4" t="s">
        <v>87</v>
      </c>
      <c r="D48" s="3" t="n">
        <v>3.0</v>
      </c>
      <c r="E48" s="4" t="s">
        <v>43</v>
      </c>
      <c r="F48" s="4" t="s">
        <v>44</v>
      </c>
      <c r="G48" s="4" t="s">
        <v>45</v>
      </c>
      <c r="H48" s="5" t="n">
        <f>3038.0</f>
        <v>3038.0</v>
      </c>
    </row>
    <row r="49">
      <c r="A49" s="3" t="s">
        <v>85</v>
      </c>
      <c r="B49" s="4" t="s">
        <v>86</v>
      </c>
      <c r="C49" s="4" t="s">
        <v>87</v>
      </c>
      <c r="D49" s="3" t="n">
        <v>4.0</v>
      </c>
      <c r="E49" s="4" t="s">
        <v>25</v>
      </c>
      <c r="F49" s="4" t="s">
        <v>26</v>
      </c>
      <c r="G49" s="4" t="s">
        <v>27</v>
      </c>
      <c r="H49" s="5" t="n">
        <f>3011.0</f>
        <v>3011.0</v>
      </c>
    </row>
    <row r="50">
      <c r="A50" s="3" t="s">
        <v>85</v>
      </c>
      <c r="B50" s="4" t="s">
        <v>86</v>
      </c>
      <c r="C50" s="4" t="s">
        <v>87</v>
      </c>
      <c r="D50" s="3" t="n">
        <v>5.0</v>
      </c>
      <c r="E50" s="4" t="s">
        <v>31</v>
      </c>
      <c r="F50" s="4" t="s">
        <v>32</v>
      </c>
      <c r="G50" s="4" t="s">
        <v>33</v>
      </c>
      <c r="H50" s="5" t="n">
        <f>2917.0</f>
        <v>2917.0</v>
      </c>
    </row>
    <row r="51">
      <c r="A51" s="3" t="s">
        <v>85</v>
      </c>
      <c r="B51" s="4" t="s">
        <v>86</v>
      </c>
      <c r="C51" s="4" t="s">
        <v>87</v>
      </c>
      <c r="D51" s="3" t="n">
        <v>6.0</v>
      </c>
      <c r="E51" s="4" t="s">
        <v>16</v>
      </c>
      <c r="F51" s="4" t="s">
        <v>17</v>
      </c>
      <c r="G51" s="4" t="s">
        <v>18</v>
      </c>
      <c r="H51" s="5" t="n">
        <f>2223.0</f>
        <v>2223.0</v>
      </c>
    </row>
    <row r="52">
      <c r="A52" s="3" t="s">
        <v>85</v>
      </c>
      <c r="B52" s="4" t="s">
        <v>86</v>
      </c>
      <c r="C52" s="4" t="s">
        <v>87</v>
      </c>
      <c r="D52" s="3" t="n">
        <v>7.0</v>
      </c>
      <c r="E52" s="4" t="s">
        <v>28</v>
      </c>
      <c r="F52" s="4" t="s">
        <v>29</v>
      </c>
      <c r="G52" s="4" t="s">
        <v>30</v>
      </c>
      <c r="H52" s="5" t="n">
        <f>2009.0</f>
        <v>2009.0</v>
      </c>
    </row>
    <row r="53">
      <c r="A53" s="3" t="s">
        <v>85</v>
      </c>
      <c r="B53" s="4" t="s">
        <v>86</v>
      </c>
      <c r="C53" s="4" t="s">
        <v>87</v>
      </c>
      <c r="D53" s="3" t="n">
        <v>8.0</v>
      </c>
      <c r="E53" s="4" t="s">
        <v>46</v>
      </c>
      <c r="F53" s="4" t="s">
        <v>47</v>
      </c>
      <c r="G53" s="4" t="s">
        <v>48</v>
      </c>
      <c r="H53" s="5" t="n">
        <f>800.0</f>
        <v>800.0</v>
      </c>
    </row>
    <row r="54">
      <c r="A54" s="3" t="s">
        <v>85</v>
      </c>
      <c r="B54" s="4" t="s">
        <v>86</v>
      </c>
      <c r="C54" s="4" t="s">
        <v>87</v>
      </c>
      <c r="D54" s="3" t="n">
        <v>9.0</v>
      </c>
      <c r="E54" s="4" t="s">
        <v>58</v>
      </c>
      <c r="F54" s="4" t="s">
        <v>59</v>
      </c>
      <c r="G54" s="4" t="s">
        <v>60</v>
      </c>
      <c r="H54" s="5" t="n">
        <f>647.0</f>
        <v>647.0</v>
      </c>
    </row>
    <row r="55">
      <c r="A55" s="3" t="s">
        <v>85</v>
      </c>
      <c r="B55" s="4" t="s">
        <v>86</v>
      </c>
      <c r="C55" s="4" t="s">
        <v>87</v>
      </c>
      <c r="D55" s="3" t="n">
        <v>10.0</v>
      </c>
      <c r="E55" s="4" t="s">
        <v>49</v>
      </c>
      <c r="F55" s="4" t="s">
        <v>50</v>
      </c>
      <c r="G55" s="4" t="s">
        <v>51</v>
      </c>
      <c r="H55" s="5" t="n">
        <f>604.0</f>
        <v>604.0</v>
      </c>
    </row>
    <row r="56">
      <c r="A56" s="3" t="s">
        <v>85</v>
      </c>
      <c r="B56" s="4" t="s">
        <v>86</v>
      </c>
      <c r="C56" s="4" t="s">
        <v>87</v>
      </c>
      <c r="D56" s="3" t="n">
        <v>11.0</v>
      </c>
      <c r="E56" s="4" t="s">
        <v>64</v>
      </c>
      <c r="F56" s="4" t="s">
        <v>65</v>
      </c>
      <c r="G56" s="4" t="s">
        <v>66</v>
      </c>
      <c r="H56" s="5" t="n">
        <f>376.0</f>
        <v>376.0</v>
      </c>
    </row>
    <row r="57">
      <c r="A57" s="3" t="s">
        <v>85</v>
      </c>
      <c r="B57" s="4" t="s">
        <v>86</v>
      </c>
      <c r="C57" s="4" t="s">
        <v>87</v>
      </c>
      <c r="D57" s="3" t="n">
        <v>12.0</v>
      </c>
      <c r="E57" s="4" t="s">
        <v>22</v>
      </c>
      <c r="F57" s="4" t="s">
        <v>23</v>
      </c>
      <c r="G57" s="4" t="s">
        <v>24</v>
      </c>
      <c r="H57" s="5" t="n">
        <f>369.0</f>
        <v>369.0</v>
      </c>
    </row>
    <row r="58">
      <c r="A58" s="3" t="s">
        <v>85</v>
      </c>
      <c r="B58" s="4" t="s">
        <v>86</v>
      </c>
      <c r="C58" s="4" t="s">
        <v>87</v>
      </c>
      <c r="D58" s="3" t="n">
        <v>13.0</v>
      </c>
      <c r="E58" s="4" t="s">
        <v>40</v>
      </c>
      <c r="F58" s="4" t="s">
        <v>41</v>
      </c>
      <c r="G58" s="4" t="s">
        <v>42</v>
      </c>
      <c r="H58" s="5" t="n">
        <f>344.0</f>
        <v>344.0</v>
      </c>
    </row>
    <row r="59">
      <c r="A59" s="3" t="s">
        <v>85</v>
      </c>
      <c r="B59" s="4" t="s">
        <v>86</v>
      </c>
      <c r="C59" s="4" t="s">
        <v>87</v>
      </c>
      <c r="D59" s="3" t="n">
        <v>14.0</v>
      </c>
      <c r="E59" s="4" t="s">
        <v>19</v>
      </c>
      <c r="F59" s="4" t="s">
        <v>20</v>
      </c>
      <c r="G59" s="4" t="s">
        <v>21</v>
      </c>
      <c r="H59" s="5" t="n">
        <f>132.0</f>
        <v>132.0</v>
      </c>
    </row>
    <row r="60">
      <c r="A60" s="3" t="s">
        <v>85</v>
      </c>
      <c r="B60" s="4" t="s">
        <v>86</v>
      </c>
      <c r="C60" s="4" t="s">
        <v>87</v>
      </c>
      <c r="D60" s="3" t="n">
        <v>15.0</v>
      </c>
      <c r="E60" s="4" t="s">
        <v>52</v>
      </c>
      <c r="F60" s="4" t="s">
        <v>53</v>
      </c>
      <c r="G60" s="4" t="s">
        <v>54</v>
      </c>
      <c r="H60" s="5" t="n">
        <f>120.0</f>
        <v>120.0</v>
      </c>
    </row>
    <row r="61">
      <c r="A61" s="3" t="s">
        <v>85</v>
      </c>
      <c r="B61" s="4" t="s">
        <v>86</v>
      </c>
      <c r="C61" s="4" t="s">
        <v>87</v>
      </c>
      <c r="D61" s="3" t="n">
        <v>16.0</v>
      </c>
      <c r="E61" s="4" t="s">
        <v>79</v>
      </c>
      <c r="F61" s="4" t="s">
        <v>80</v>
      </c>
      <c r="G61" s="4" t="s">
        <v>81</v>
      </c>
      <c r="H61" s="5" t="n">
        <f>118.0</f>
        <v>118.0</v>
      </c>
    </row>
    <row r="62">
      <c r="A62" s="3" t="s">
        <v>85</v>
      </c>
      <c r="B62" s="4" t="s">
        <v>86</v>
      </c>
      <c r="C62" s="4" t="s">
        <v>87</v>
      </c>
      <c r="D62" s="3" t="n">
        <v>17.0</v>
      </c>
      <c r="E62" s="4" t="s">
        <v>88</v>
      </c>
      <c r="F62" s="4" t="s">
        <v>89</v>
      </c>
      <c r="G62" s="4" t="s">
        <v>90</v>
      </c>
      <c r="H62" s="5" t="n">
        <f>48.0</f>
        <v>48.0</v>
      </c>
    </row>
    <row r="63">
      <c r="A63" s="3" t="s">
        <v>85</v>
      </c>
      <c r="B63" s="4" t="s">
        <v>86</v>
      </c>
      <c r="C63" s="4" t="s">
        <v>87</v>
      </c>
      <c r="D63" s="3" t="n">
        <v>18.0</v>
      </c>
      <c r="E63" s="4" t="s">
        <v>61</v>
      </c>
      <c r="F63" s="4" t="s">
        <v>62</v>
      </c>
      <c r="G63" s="4" t="s">
        <v>63</v>
      </c>
      <c r="H63" s="5" t="n">
        <f>12.0</f>
        <v>12.0</v>
      </c>
    </row>
    <row r="64">
      <c r="A64" s="3" t="s">
        <v>85</v>
      </c>
      <c r="B64" s="4" t="s">
        <v>91</v>
      </c>
      <c r="C64" s="4" t="s">
        <v>92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800.0</f>
        <v>800.0</v>
      </c>
    </row>
    <row r="65">
      <c r="A65" s="3" t="s">
        <v>85</v>
      </c>
      <c r="B65" s="4" t="s">
        <v>91</v>
      </c>
      <c r="C65" s="4" t="s">
        <v>92</v>
      </c>
      <c r="D65" s="3" t="n">
        <v>2.0</v>
      </c>
      <c r="E65" s="4" t="s">
        <v>37</v>
      </c>
      <c r="F65" s="4" t="s">
        <v>38</v>
      </c>
      <c r="G65" s="4" t="s">
        <v>39</v>
      </c>
      <c r="H65" s="5" t="n">
        <f>500.0</f>
        <v>500.0</v>
      </c>
    </row>
    <row r="66">
      <c r="A66" s="3" t="s">
        <v>85</v>
      </c>
      <c r="B66" s="4" t="s">
        <v>91</v>
      </c>
      <c r="C66" s="4" t="s">
        <v>92</v>
      </c>
      <c r="D66" s="3" t="n">
        <v>3.0</v>
      </c>
      <c r="E66" s="4" t="s">
        <v>16</v>
      </c>
      <c r="F66" s="4" t="s">
        <v>17</v>
      </c>
      <c r="G66" s="4" t="s">
        <v>18</v>
      </c>
      <c r="H66" s="5" t="n">
        <f>300.0</f>
        <v>300.0</v>
      </c>
    </row>
    <row r="67">
      <c r="A67" s="3" t="s">
        <v>93</v>
      </c>
      <c r="B67" s="4" t="s">
        <v>94</v>
      </c>
      <c r="C67" s="4" t="s">
        <v>95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200.0</f>
        <v>200.0</v>
      </c>
    </row>
    <row r="68">
      <c r="A68" s="3" t="s">
        <v>93</v>
      </c>
      <c r="B68" s="4" t="s">
        <v>94</v>
      </c>
      <c r="C68" s="4" t="s">
        <v>95</v>
      </c>
      <c r="D68" s="3" t="n">
        <v>1.0</v>
      </c>
      <c r="E68" s="4" t="s">
        <v>43</v>
      </c>
      <c r="F68" s="4" t="s">
        <v>44</v>
      </c>
      <c r="G68" s="4" t="s">
        <v>45</v>
      </c>
      <c r="H68" s="5" t="n">
        <f>200.0</f>
        <v>200.0</v>
      </c>
    </row>
    <row r="69">
      <c r="A69" s="3" t="s">
        <v>93</v>
      </c>
      <c r="B69" s="4" t="s">
        <v>94</v>
      </c>
      <c r="C69" s="4" t="s">
        <v>95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30.0</f>
        <v>30.0</v>
      </c>
    </row>
    <row r="70">
      <c r="A70" s="3" t="s">
        <v>93</v>
      </c>
      <c r="B70" s="4" t="s">
        <v>96</v>
      </c>
      <c r="C70" s="4" t="s">
        <v>97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6.0</f>
        <v>6.0</v>
      </c>
    </row>
    <row r="71">
      <c r="A71" s="3" t="s">
        <v>93</v>
      </c>
      <c r="B71" s="4" t="s">
        <v>98</v>
      </c>
      <c r="C71" s="4" t="s">
        <v>99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300.0</f>
        <v>300.0</v>
      </c>
    </row>
    <row r="72">
      <c r="A72" s="3" t="s">
        <v>93</v>
      </c>
      <c r="B72" s="4" t="s">
        <v>98</v>
      </c>
      <c r="C72" s="4" t="s">
        <v>99</v>
      </c>
      <c r="D72" s="3" t="n">
        <v>2.0</v>
      </c>
      <c r="E72" s="4" t="s">
        <v>46</v>
      </c>
      <c r="F72" s="4" t="s">
        <v>47</v>
      </c>
      <c r="G72" s="4" t="s">
        <v>48</v>
      </c>
      <c r="H72" s="5" t="n">
        <f>200.0</f>
        <v>200.0</v>
      </c>
    </row>
    <row r="73">
      <c r="A73" s="3" t="s">
        <v>93</v>
      </c>
      <c r="B73" s="4" t="s">
        <v>98</v>
      </c>
      <c r="C73" s="4" t="s">
        <v>99</v>
      </c>
      <c r="D73" s="3" t="n">
        <v>2.0</v>
      </c>
      <c r="E73" s="4" t="s">
        <v>28</v>
      </c>
      <c r="F73" s="4" t="s">
        <v>29</v>
      </c>
      <c r="G73" s="4" t="s">
        <v>30</v>
      </c>
      <c r="H73" s="5" t="n">
        <f>200.0</f>
        <v>200.0</v>
      </c>
    </row>
    <row r="74">
      <c r="A74" s="3" t="s">
        <v>93</v>
      </c>
      <c r="B74" s="4" t="s">
        <v>98</v>
      </c>
      <c r="C74" s="4" t="s">
        <v>99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100.0</f>
        <v>100.0</v>
      </c>
    </row>
    <row r="75">
      <c r="A75" s="3" t="s">
        <v>93</v>
      </c>
      <c r="B75" s="4" t="s">
        <v>98</v>
      </c>
      <c r="C75" s="4" t="s">
        <v>99</v>
      </c>
      <c r="D75" s="3" t="n">
        <v>5.0</v>
      </c>
      <c r="E75" s="4" t="s">
        <v>19</v>
      </c>
      <c r="F75" s="4" t="s">
        <v>20</v>
      </c>
      <c r="G75" s="4" t="s">
        <v>21</v>
      </c>
      <c r="H75" s="5" t="n">
        <f>72.0</f>
        <v>72.0</v>
      </c>
    </row>
    <row r="76">
      <c r="A76" s="3" t="s">
        <v>93</v>
      </c>
      <c r="B76" s="4" t="s">
        <v>100</v>
      </c>
      <c r="C76" s="4" t="s">
        <v>101</v>
      </c>
      <c r="D76" s="3" t="n">
        <v>1.0</v>
      </c>
      <c r="E76" s="4" t="s">
        <v>79</v>
      </c>
      <c r="F76" s="4" t="s">
        <v>80</v>
      </c>
      <c r="G76" s="4" t="s">
        <v>81</v>
      </c>
      <c r="H76" s="5" t="n">
        <f>10.0</f>
        <v>10.0</v>
      </c>
    </row>
    <row r="77">
      <c r="A77" s="3" t="s">
        <v>93</v>
      </c>
      <c r="B77" s="4" t="s">
        <v>100</v>
      </c>
      <c r="C77" s="4" t="s">
        <v>101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10.0</f>
        <v>10.0</v>
      </c>
    </row>
    <row r="78">
      <c r="A78" s="3" t="s">
        <v>93</v>
      </c>
      <c r="B78" s="4" t="s">
        <v>102</v>
      </c>
      <c r="C78" s="4" t="s">
        <v>103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38.0</f>
        <v>38.0</v>
      </c>
    </row>
    <row r="79">
      <c r="A79" s="3" t="s">
        <v>93</v>
      </c>
      <c r="B79" s="4" t="s">
        <v>104</v>
      </c>
      <c r="C79" s="4" t="s">
        <v>105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166.0</f>
        <v>166.0</v>
      </c>
    </row>
    <row r="80">
      <c r="A80" s="3" t="s">
        <v>93</v>
      </c>
      <c r="B80" s="4" t="s">
        <v>104</v>
      </c>
      <c r="C80" s="4" t="s">
        <v>105</v>
      </c>
      <c r="D80" s="3" t="n">
        <v>2.0</v>
      </c>
      <c r="E80" s="4" t="s">
        <v>46</v>
      </c>
      <c r="F80" s="4" t="s">
        <v>47</v>
      </c>
      <c r="G80" s="4" t="s">
        <v>48</v>
      </c>
      <c r="H80" s="5" t="n">
        <f>50.0</f>
        <v>50.0</v>
      </c>
    </row>
    <row r="81">
      <c r="A81" s="3" t="s">
        <v>93</v>
      </c>
      <c r="B81" s="4" t="s">
        <v>104</v>
      </c>
      <c r="C81" s="4" t="s">
        <v>105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50.0</f>
        <v>50.0</v>
      </c>
    </row>
    <row r="82">
      <c r="A82" s="3" t="s">
        <v>93</v>
      </c>
      <c r="B82" s="4" t="s">
        <v>104</v>
      </c>
      <c r="C82" s="4" t="s">
        <v>105</v>
      </c>
      <c r="D82" s="3" t="n">
        <v>4.0</v>
      </c>
      <c r="E82" s="4" t="s">
        <v>19</v>
      </c>
      <c r="F82" s="4" t="s">
        <v>20</v>
      </c>
      <c r="G82" s="4" t="s">
        <v>21</v>
      </c>
      <c r="H82" s="5" t="n">
        <f>12.0</f>
        <v>12.0</v>
      </c>
    </row>
    <row r="83">
      <c r="A83" s="3" t="s">
        <v>93</v>
      </c>
      <c r="B83" s="4" t="s">
        <v>106</v>
      </c>
      <c r="C83" s="4" t="s">
        <v>107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2.0</f>
        <v>2.0</v>
      </c>
    </row>
    <row r="84">
      <c r="A84" s="3" t="s">
        <v>93</v>
      </c>
      <c r="B84" s="4" t="s">
        <v>108</v>
      </c>
      <c r="C84" s="4" t="s">
        <v>109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74.0</f>
        <v>74.0</v>
      </c>
    </row>
    <row r="85">
      <c r="A85" s="3" t="s">
        <v>93</v>
      </c>
      <c r="B85" s="4" t="s">
        <v>110</v>
      </c>
      <c r="C85" s="4" t="s">
        <v>111</v>
      </c>
      <c r="D85" s="3" t="n">
        <v>1.0</v>
      </c>
      <c r="E85" s="4" t="s">
        <v>52</v>
      </c>
      <c r="F85" s="4" t="s">
        <v>53</v>
      </c>
      <c r="G85" s="4" t="s">
        <v>54</v>
      </c>
      <c r="H85" s="5" t="n">
        <f>400.0</f>
        <v>400.0</v>
      </c>
    </row>
    <row r="86">
      <c r="A86" s="3" t="s">
        <v>93</v>
      </c>
      <c r="B86" s="4" t="s">
        <v>110</v>
      </c>
      <c r="C86" s="4" t="s">
        <v>111</v>
      </c>
      <c r="D86" s="3" t="n">
        <v>2.0</v>
      </c>
      <c r="E86" s="4" t="s">
        <v>25</v>
      </c>
      <c r="F86" s="4" t="s">
        <v>26</v>
      </c>
      <c r="G86" s="4" t="s">
        <v>27</v>
      </c>
      <c r="H86" s="5" t="n">
        <f>50.0</f>
        <v>50.0</v>
      </c>
    </row>
    <row r="87">
      <c r="A87" s="3" t="s">
        <v>93</v>
      </c>
      <c r="B87" s="4" t="s">
        <v>110</v>
      </c>
      <c r="C87" s="4" t="s">
        <v>111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22.0</f>
        <v>22.0</v>
      </c>
    </row>
    <row r="88">
      <c r="A88" s="3" t="s">
        <v>93</v>
      </c>
      <c r="B88" s="4" t="s">
        <v>112</v>
      </c>
      <c r="C88" s="4" t="s">
        <v>113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126.0</f>
        <v>126.0</v>
      </c>
    </row>
    <row r="89">
      <c r="A89" s="3" t="s">
        <v>93</v>
      </c>
      <c r="B89" s="4" t="s">
        <v>112</v>
      </c>
      <c r="C89" s="4" t="s">
        <v>113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100.0</f>
        <v>100.0</v>
      </c>
    </row>
    <row r="90">
      <c r="A90" s="3" t="s">
        <v>93</v>
      </c>
      <c r="B90" s="4" t="s">
        <v>114</v>
      </c>
      <c r="C90" s="4" t="s">
        <v>115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2.0</f>
        <v>2.0</v>
      </c>
    </row>
    <row r="91">
      <c r="A91" s="3" t="s">
        <v>93</v>
      </c>
      <c r="B91" s="4" t="s">
        <v>116</v>
      </c>
      <c r="C91" s="4" t="s">
        <v>117</v>
      </c>
      <c r="D91" s="3" t="n">
        <v>1.0</v>
      </c>
      <c r="E91" s="4" t="s">
        <v>19</v>
      </c>
      <c r="F91" s="4" t="s">
        <v>20</v>
      </c>
      <c r="G91" s="4" t="s">
        <v>21</v>
      </c>
      <c r="H91" s="5" t="n">
        <f>4.0</f>
        <v>4.0</v>
      </c>
    </row>
    <row r="92">
      <c r="A92" s="3" t="s">
        <v>93</v>
      </c>
      <c r="B92" s="4" t="s">
        <v>118</v>
      </c>
      <c r="C92" s="4" t="s">
        <v>119</v>
      </c>
      <c r="D92" s="3" t="n">
        <v>1.0</v>
      </c>
      <c r="E92" s="4" t="s">
        <v>40</v>
      </c>
      <c r="F92" s="4" t="s">
        <v>41</v>
      </c>
      <c r="G92" s="4" t="s">
        <v>42</v>
      </c>
      <c r="H92" s="5" t="n">
        <f>100.0</f>
        <v>100.0</v>
      </c>
    </row>
    <row r="93">
      <c r="A93" s="3" t="s">
        <v>93</v>
      </c>
      <c r="B93" s="4" t="s">
        <v>118</v>
      </c>
      <c r="C93" s="4" t="s">
        <v>119</v>
      </c>
      <c r="D93" s="3" t="n">
        <v>2.0</v>
      </c>
      <c r="E93" s="4" t="s">
        <v>19</v>
      </c>
      <c r="F93" s="4" t="s">
        <v>20</v>
      </c>
      <c r="G93" s="4" t="s">
        <v>21</v>
      </c>
      <c r="H93" s="5" t="n">
        <f>18.0</f>
        <v>18.0</v>
      </c>
    </row>
    <row r="94">
      <c r="A94" s="3" t="s">
        <v>93</v>
      </c>
      <c r="B94" s="4" t="s">
        <v>120</v>
      </c>
      <c r="C94" s="4" t="s">
        <v>121</v>
      </c>
      <c r="D94" s="3" t="n">
        <v>1.0</v>
      </c>
      <c r="E94" s="4" t="s">
        <v>19</v>
      </c>
      <c r="F94" s="4" t="s">
        <v>20</v>
      </c>
      <c r="G94" s="4" t="s">
        <v>21</v>
      </c>
      <c r="H94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