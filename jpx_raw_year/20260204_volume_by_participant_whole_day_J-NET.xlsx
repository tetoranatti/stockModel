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<sst xmlns="http://schemas.openxmlformats.org/spreadsheetml/2006/main" count="544" uniqueCount="107">
  <si>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</si>
  <si>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</si>
  <si>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</si>
  <si>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</si>
  <si>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</si>
  <si>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</si>
  <si>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</si>
  <si>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</si>
  <si>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</si>
  <si>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20260204</t>
  </si>
  <si>
    <t>NK225F</t>
  </si>
  <si>
    <t>161030018</t>
  </si>
  <si>
    <t>NIKKEI 225 FUT 2603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</si>
  <si>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</si>
  <si>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</si>
  <si>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</si>
  <si>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</si>
  <si>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</si>
  <si>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</si>
  <si>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</si>
  <si>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</si>
  <si>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</si>
  <si>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</si>
  <si>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</si>
  <si>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</si>
  <si>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</si>
  <si>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</si>
  <si>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</si>
  <si>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</si>
  <si>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</si>
  <si>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</si>
  <si>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</si>
  <si>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</si>
  <si>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</si>
  <si>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</si>
  <si>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</si>
  <si>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</si>
  <si>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</si>
  <si>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</si>
  <si>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</si>
  <si>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</si>
  <si>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</si>
  <si>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</si>
  <si>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</si>
  <si>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</si>
  <si>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</si>
  <si>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</si>
  <si>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</si>
  <si>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</si>
  <si>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</si>
  <si>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</si>
  <si>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</si>
  <si>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</si>
  <si>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</si>
  <si>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</si>
  <si>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</si>
  <si>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</si>
  <si>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</si>
  <si>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</si>
  <si>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</si>
  <si>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</si>
  <si>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</si>
  <si>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</si>
  <si>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</si>
  <si>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</si>
  <si>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</si>
  <si>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</si>
  <si>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</si>
  <si>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</si>
  <si>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</si>
  <si>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</si>
  <si>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</si>
  <si>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</si>
  <si>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</si>
  <si>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</si>
  <si>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</si>
  <si>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</si>
  <si>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</si>
  <si>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</si>
  <si>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</si>
  <si>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</si>
  <si>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</si>
  <si>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</si>
  <si>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</si>
  <si>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</si>
  <si>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11272</t>
  </si>
  <si>
    <t>岡三証券</t>
  </si>
  <si>
    <t>OKASAN SECURITIES</t>
  </si>
  <si>
    <t>NK225E</t>
  </si>
  <si>
    <t>131143518</t>
  </si>
  <si>
    <t>NIKKEI 225 OOP P2602-53500</t>
  </si>
  <si>
    <t>131143718</t>
  </si>
  <si>
    <t>NIKKEI 225 OOP P2602-53750</t>
  </si>
  <si>
    <t>181144018</t>
  </si>
  <si>
    <t>NIKKEI 225 OOP P2602-54000</t>
  </si>
  <si>
    <t>131024118</t>
  </si>
  <si>
    <t>NIKKEI 225 OOP P2602-54125</t>
  </si>
  <si>
    <t>131144218</t>
  </si>
  <si>
    <t>NIKKEI 225 OOP P2602-54250</t>
  </si>
  <si>
    <t>191145018</t>
  </si>
  <si>
    <t>NIKKEI 225 OOP C2602-55000</t>
  </si>
  <si>
    <t>141144518</t>
  </si>
  <si>
    <t>NIKKEI 225 OOP C2602-54500</t>
  </si>
  <si>
    <t>141144218</t>
  </si>
  <si>
    <t>NIKKEI 225 OOP C2602-54250</t>
  </si>
  <si>
    <t>191144018</t>
  </si>
  <si>
    <t>NIKKEI 225 OOP C2602-54000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</si>
</sst>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2936.0</f>
        <v>2936.0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2242.0</f>
        <v>2242.0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1880.0</f>
        <v>1880.0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1431.0</f>
        <v>1431.0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1247.0</f>
        <v>1247.0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1208.0</f>
        <v>1208.0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964.0</f>
        <v>964.0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635.0</f>
        <v>635.0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623.0</f>
        <v>623.0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571.0</f>
        <v>571.0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552.0</f>
        <v>552.0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528.0</f>
        <v>528.0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252.0</f>
        <v>252.0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172.0</f>
        <v>172.0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124.0</f>
        <v>124.0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120.0</f>
        <v>120.0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86.0</f>
        <v>86.0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39.0</f>
        <v>39.0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37.0</f>
        <v>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19.0</f>
        <v>19.0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4.0</f>
        <v>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31</v>
      </c>
      <c r="F32" s="4" t="s">
        <v>32</v>
      </c>
      <c r="G32" s="4" t="s">
        <v>33</v>
      </c>
      <c r="H32" s="5" t="n">
        <f>4750.0</f>
        <v>4750.0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25</v>
      </c>
      <c r="F33" s="4" t="s">
        <v>26</v>
      </c>
      <c r="G33" s="4" t="s">
        <v>27</v>
      </c>
      <c r="H33" s="5" t="n">
        <f>2000.0</f>
        <v>2000.0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52</v>
      </c>
      <c r="F34" s="4" t="s">
        <v>53</v>
      </c>
      <c r="G34" s="4" t="s">
        <v>54</v>
      </c>
      <c r="H34" s="5" t="n">
        <f>1892.0</f>
        <v>1892.0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22</v>
      </c>
      <c r="F35" s="4" t="s">
        <v>23</v>
      </c>
      <c r="G35" s="4" t="s">
        <v>24</v>
      </c>
      <c r="H35" s="5" t="n">
        <f>1750.0</f>
        <v>1750.0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34</v>
      </c>
      <c r="F36" s="4" t="s">
        <v>35</v>
      </c>
      <c r="G36" s="4" t="s">
        <v>36</v>
      </c>
      <c r="H36" s="5" t="n">
        <f>1734.0</f>
        <v>1734.0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19</v>
      </c>
      <c r="F37" s="4" t="s">
        <v>20</v>
      </c>
      <c r="G37" s="4" t="s">
        <v>21</v>
      </c>
      <c r="H37" s="5" t="n">
        <f>1000.0</f>
        <v>1000.0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61</v>
      </c>
      <c r="F38" s="4" t="s">
        <v>62</v>
      </c>
      <c r="G38" s="4" t="s">
        <v>63</v>
      </c>
      <c r="H38" s="5" t="n">
        <f>150.0</f>
        <v>150.0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34</v>
      </c>
      <c r="F39" s="4" t="s">
        <v>35</v>
      </c>
      <c r="G39" s="4" t="s">
        <v>36</v>
      </c>
      <c r="H39" s="5" t="n">
        <f>36482.0</f>
        <v>36482.0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52</v>
      </c>
      <c r="F40" s="4" t="s">
        <v>53</v>
      </c>
      <c r="G40" s="4" t="s">
        <v>54</v>
      </c>
      <c r="H40" s="5" t="n">
        <f>18136.0</f>
        <v>18136.0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61</v>
      </c>
      <c r="F41" s="4" t="s">
        <v>62</v>
      </c>
      <c r="G41" s="4" t="s">
        <v>63</v>
      </c>
      <c r="H41" s="5" t="n">
        <f>5730.0</f>
        <v>5730.0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19</v>
      </c>
      <c r="F42" s="4" t="s">
        <v>20</v>
      </c>
      <c r="G42" s="4" t="s">
        <v>21</v>
      </c>
      <c r="H42" s="5" t="n">
        <f>162.0</f>
        <v>162.0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22</v>
      </c>
      <c r="F43" s="4" t="s">
        <v>23</v>
      </c>
      <c r="G43" s="4" t="s">
        <v>24</v>
      </c>
      <c r="H43" s="5" t="n">
        <f>118.0</f>
        <v>118.0</v>
      </c>
    </row>
    <row r="44">
      <c r="A44" s="3" t="s">
        <v>75</v>
      </c>
      <c r="B44" s="4" t="s">
        <v>78</v>
      </c>
      <c r="C44" s="4" t="s">
        <v>79</v>
      </c>
      <c r="D44" s="3" t="n">
        <v>6.0</v>
      </c>
      <c r="E44" s="4" t="s">
        <v>43</v>
      </c>
      <c r="F44" s="4" t="s">
        <v>44</v>
      </c>
      <c r="G44" s="4" t="s">
        <v>45</v>
      </c>
      <c r="H44" s="5" t="n">
        <f>90.0</f>
        <v>90.0</v>
      </c>
    </row>
    <row r="45">
      <c r="A45" s="3" t="s">
        <v>75</v>
      </c>
      <c r="B45" s="4" t="s">
        <v>78</v>
      </c>
      <c r="C45" s="4" t="s">
        <v>79</v>
      </c>
      <c r="D45" s="3" t="n">
        <v>7.0</v>
      </c>
      <c r="E45" s="4" t="s">
        <v>28</v>
      </c>
      <c r="F45" s="4" t="s">
        <v>29</v>
      </c>
      <c r="G45" s="4" t="s">
        <v>30</v>
      </c>
      <c r="H45" s="5" t="n">
        <f>44.0</f>
        <v>44.0</v>
      </c>
    </row>
    <row r="46">
      <c r="A46" s="3" t="s">
        <v>75</v>
      </c>
      <c r="B46" s="4" t="s">
        <v>78</v>
      </c>
      <c r="C46" s="4" t="s">
        <v>79</v>
      </c>
      <c r="D46" s="3" t="n">
        <v>8.0</v>
      </c>
      <c r="E46" s="4" t="s">
        <v>13</v>
      </c>
      <c r="F46" s="4" t="s">
        <v>14</v>
      </c>
      <c r="G46" s="4" t="s">
        <v>15</v>
      </c>
      <c r="H46" s="5" t="n">
        <f>42.0</f>
        <v>42.0</v>
      </c>
    </row>
    <row r="47">
      <c r="A47" s="3" t="s">
        <v>75</v>
      </c>
      <c r="B47" s="4" t="s">
        <v>78</v>
      </c>
      <c r="C47" s="4" t="s">
        <v>79</v>
      </c>
      <c r="D47" s="3" t="n">
        <v>9.0</v>
      </c>
      <c r="E47" s="4" t="s">
        <v>31</v>
      </c>
      <c r="F47" s="4" t="s">
        <v>32</v>
      </c>
      <c r="G47" s="4" t="s">
        <v>33</v>
      </c>
      <c r="H47" s="5" t="n">
        <f>21.0</f>
        <v>21.0</v>
      </c>
    </row>
    <row r="48">
      <c r="A48" s="3" t="s">
        <v>75</v>
      </c>
      <c r="B48" s="4" t="s">
        <v>78</v>
      </c>
      <c r="C48" s="4" t="s">
        <v>79</v>
      </c>
      <c r="D48" s="3" t="n">
        <v>9.0</v>
      </c>
      <c r="E48" s="4" t="s">
        <v>58</v>
      </c>
      <c r="F48" s="4" t="s">
        <v>59</v>
      </c>
      <c r="G48" s="4" t="s">
        <v>60</v>
      </c>
      <c r="H48" s="5" t="n">
        <f>21.0</f>
        <v>21.0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52</v>
      </c>
      <c r="F49" s="4" t="s">
        <v>53</v>
      </c>
      <c r="G49" s="4" t="s">
        <v>54</v>
      </c>
      <c r="H49" s="5" t="n">
        <f>24.0</f>
        <v>24.0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34</v>
      </c>
      <c r="F50" s="4" t="s">
        <v>35</v>
      </c>
      <c r="G50" s="4" t="s">
        <v>36</v>
      </c>
      <c r="H50" s="5" t="n">
        <f>8.0</f>
        <v>8.0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61</v>
      </c>
      <c r="F51" s="4" t="s">
        <v>62</v>
      </c>
      <c r="G51" s="4" t="s">
        <v>63</v>
      </c>
      <c r="H51" s="5" t="n">
        <f>4.0</f>
        <v>4.0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43</v>
      </c>
      <c r="F52" s="4" t="s">
        <v>44</v>
      </c>
      <c r="G52" s="4" t="s">
        <v>45</v>
      </c>
      <c r="H52" s="5" t="n">
        <f>3123.0</f>
        <v>3123.0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40</v>
      </c>
      <c r="F53" s="4" t="s">
        <v>41</v>
      </c>
      <c r="G53" s="4" t="s">
        <v>42</v>
      </c>
      <c r="H53" s="5" t="n">
        <f>3100.0</f>
        <v>3100.0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16</v>
      </c>
      <c r="F54" s="4" t="s">
        <v>17</v>
      </c>
      <c r="G54" s="4" t="s">
        <v>18</v>
      </c>
      <c r="H54" s="5" t="n">
        <f>2840.0</f>
        <v>2840.0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28</v>
      </c>
      <c r="F55" s="4" t="s">
        <v>29</v>
      </c>
      <c r="G55" s="4" t="s">
        <v>30</v>
      </c>
      <c r="H55" s="5" t="n">
        <f>1200.0</f>
        <v>1200.0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25</v>
      </c>
      <c r="F56" s="4" t="s">
        <v>26</v>
      </c>
      <c r="G56" s="4" t="s">
        <v>27</v>
      </c>
      <c r="H56" s="5" t="n">
        <f>886.0</f>
        <v>886.0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13</v>
      </c>
      <c r="F57" s="4" t="s">
        <v>14</v>
      </c>
      <c r="G57" s="4" t="s">
        <v>15</v>
      </c>
      <c r="H57" s="5" t="n">
        <f>350.0</f>
        <v>350.0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49</v>
      </c>
      <c r="F58" s="4" t="s">
        <v>50</v>
      </c>
      <c r="G58" s="4" t="s">
        <v>51</v>
      </c>
      <c r="H58" s="5" t="n">
        <f>309.0</f>
        <v>309.0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19</v>
      </c>
      <c r="F59" s="4" t="s">
        <v>20</v>
      </c>
      <c r="G59" s="4" t="s">
        <v>21</v>
      </c>
      <c r="H59" s="5" t="n">
        <f>230.0</f>
        <v>230.0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22</v>
      </c>
      <c r="F60" s="4" t="s">
        <v>23</v>
      </c>
      <c r="G60" s="4" t="s">
        <v>24</v>
      </c>
      <c r="H60" s="5" t="n">
        <f>100.0</f>
        <v>100.0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34</v>
      </c>
      <c r="F61" s="4" t="s">
        <v>35</v>
      </c>
      <c r="G61" s="4" t="s">
        <v>36</v>
      </c>
      <c r="H61" s="5" t="n">
        <f>94.0</f>
        <v>94.0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37</v>
      </c>
      <c r="F62" s="4" t="s">
        <v>38</v>
      </c>
      <c r="G62" s="4" t="s">
        <v>39</v>
      </c>
      <c r="H62" s="5" t="n">
        <f>44.0</f>
        <v>44.0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31</v>
      </c>
      <c r="F63" s="4" t="s">
        <v>32</v>
      </c>
      <c r="G63" s="4" t="s">
        <v>33</v>
      </c>
      <c r="H63" s="5" t="n">
        <f>33.0</f>
        <v>33.0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85</v>
      </c>
      <c r="F64" s="4" t="s">
        <v>86</v>
      </c>
      <c r="G64" s="4" t="s">
        <v>87</v>
      </c>
      <c r="H64" s="5" t="n">
        <f>21.0</f>
        <v>21.0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58</v>
      </c>
      <c r="F65" s="4" t="s">
        <v>59</v>
      </c>
      <c r="G65" s="4" t="s">
        <v>60</v>
      </c>
      <c r="H65" s="5" t="n">
        <f>18.0</f>
        <v>18.0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46</v>
      </c>
      <c r="F66" s="4" t="s">
        <v>47</v>
      </c>
      <c r="G66" s="4" t="s">
        <v>48</v>
      </c>
      <c r="H66" s="5" t="n">
        <f>14.0</f>
        <v>14.0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61</v>
      </c>
      <c r="F67" s="4" t="s">
        <v>62</v>
      </c>
      <c r="G67" s="4" t="s">
        <v>63</v>
      </c>
      <c r="H67" s="5" t="n">
        <f>6.0</f>
        <v>6.0</v>
      </c>
    </row>
    <row r="68">
      <c r="A68" s="3" t="s">
        <v>88</v>
      </c>
      <c r="B68" s="4" t="s">
        <v>89</v>
      </c>
      <c r="C68" s="4" t="s">
        <v>90</v>
      </c>
      <c r="D68" s="3" t="n">
        <v>1.0</v>
      </c>
      <c r="E68" s="4" t="s">
        <v>34</v>
      </c>
      <c r="F68" s="4" t="s">
        <v>35</v>
      </c>
      <c r="G68" s="4" t="s">
        <v>36</v>
      </c>
      <c r="H68" s="5" t="n">
        <f>2.0</f>
        <v>2.0</v>
      </c>
    </row>
    <row r="69">
      <c r="A69" s="3" t="s">
        <v>88</v>
      </c>
      <c r="B69" s="4" t="s">
        <v>91</v>
      </c>
      <c r="C69" s="4" t="s">
        <v>92</v>
      </c>
      <c r="D69" s="3" t="n">
        <v>1.0</v>
      </c>
      <c r="E69" s="4" t="s">
        <v>49</v>
      </c>
      <c r="F69" s="4" t="s">
        <v>50</v>
      </c>
      <c r="G69" s="4" t="s">
        <v>51</v>
      </c>
      <c r="H69" s="5" t="n">
        <f>100.0</f>
        <v>100.0</v>
      </c>
    </row>
    <row r="70">
      <c r="A70" s="3" t="s">
        <v>88</v>
      </c>
      <c r="B70" s="4" t="s">
        <v>91</v>
      </c>
      <c r="C70" s="4" t="s">
        <v>92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100.0</f>
        <v>100.0</v>
      </c>
    </row>
    <row r="71">
      <c r="A71" s="3" t="s">
        <v>88</v>
      </c>
      <c r="B71" s="4" t="s">
        <v>93</v>
      </c>
      <c r="C71" s="4" t="s">
        <v>94</v>
      </c>
      <c r="D71" s="3" t="n">
        <v>1.0</v>
      </c>
      <c r="E71" s="4" t="s">
        <v>19</v>
      </c>
      <c r="F71" s="4" t="s">
        <v>20</v>
      </c>
      <c r="G71" s="4" t="s">
        <v>21</v>
      </c>
      <c r="H71" s="5" t="n">
        <f>300.0</f>
        <v>300.0</v>
      </c>
    </row>
    <row r="72">
      <c r="A72" s="3" t="s">
        <v>88</v>
      </c>
      <c r="B72" s="4" t="s">
        <v>93</v>
      </c>
      <c r="C72" s="4" t="s">
        <v>94</v>
      </c>
      <c r="D72" s="3" t="n">
        <v>2.0</v>
      </c>
      <c r="E72" s="4" t="s">
        <v>31</v>
      </c>
      <c r="F72" s="4" t="s">
        <v>32</v>
      </c>
      <c r="G72" s="4" t="s">
        <v>33</v>
      </c>
      <c r="H72" s="5" t="n">
        <f>200.0</f>
        <v>200.0</v>
      </c>
    </row>
    <row r="73">
      <c r="A73" s="3" t="s">
        <v>88</v>
      </c>
      <c r="B73" s="4" t="s">
        <v>93</v>
      </c>
      <c r="C73" s="4" t="s">
        <v>94</v>
      </c>
      <c r="D73" s="3" t="n">
        <v>2.0</v>
      </c>
      <c r="E73" s="4" t="s">
        <v>22</v>
      </c>
      <c r="F73" s="4" t="s">
        <v>23</v>
      </c>
      <c r="G73" s="4" t="s">
        <v>24</v>
      </c>
      <c r="H73" s="5" t="n">
        <f>200.0</f>
        <v>200.0</v>
      </c>
    </row>
    <row r="74">
      <c r="A74" s="3" t="s">
        <v>88</v>
      </c>
      <c r="B74" s="4" t="s">
        <v>93</v>
      </c>
      <c r="C74" s="4" t="s">
        <v>94</v>
      </c>
      <c r="D74" s="3" t="n">
        <v>2.0</v>
      </c>
      <c r="E74" s="4" t="s">
        <v>37</v>
      </c>
      <c r="F74" s="4" t="s">
        <v>38</v>
      </c>
      <c r="G74" s="4" t="s">
        <v>39</v>
      </c>
      <c r="H74" s="5" t="n">
        <f>200.0</f>
        <v>200.0</v>
      </c>
    </row>
    <row r="75">
      <c r="A75" s="3" t="s">
        <v>88</v>
      </c>
      <c r="B75" s="4" t="s">
        <v>93</v>
      </c>
      <c r="C75" s="4" t="s">
        <v>94</v>
      </c>
      <c r="D75" s="3" t="n">
        <v>5.0</v>
      </c>
      <c r="E75" s="4" t="s">
        <v>16</v>
      </c>
      <c r="F75" s="4" t="s">
        <v>17</v>
      </c>
      <c r="G75" s="4" t="s">
        <v>18</v>
      </c>
      <c r="H75" s="5" t="n">
        <f>100.0</f>
        <v>100.0</v>
      </c>
    </row>
    <row r="76">
      <c r="A76" s="3" t="s">
        <v>88</v>
      </c>
      <c r="B76" s="4" t="s">
        <v>93</v>
      </c>
      <c r="C76" s="4" t="s">
        <v>94</v>
      </c>
      <c r="D76" s="3" t="n">
        <v>5.0</v>
      </c>
      <c r="E76" s="4" t="s">
        <v>13</v>
      </c>
      <c r="F76" s="4" t="s">
        <v>14</v>
      </c>
      <c r="G76" s="4" t="s">
        <v>15</v>
      </c>
      <c r="H76" s="5" t="n">
        <f>100.0</f>
        <v>100.0</v>
      </c>
    </row>
    <row r="77">
      <c r="A77" s="3" t="s">
        <v>88</v>
      </c>
      <c r="B77" s="4" t="s">
        <v>93</v>
      </c>
      <c r="C77" s="4" t="s">
        <v>94</v>
      </c>
      <c r="D77" s="3" t="n">
        <v>7.0</v>
      </c>
      <c r="E77" s="4" t="s">
        <v>52</v>
      </c>
      <c r="F77" s="4" t="s">
        <v>53</v>
      </c>
      <c r="G77" s="4" t="s">
        <v>54</v>
      </c>
      <c r="H77" s="5" t="n">
        <f>18.0</f>
        <v>18.0</v>
      </c>
    </row>
    <row r="78">
      <c r="A78" s="3" t="s">
        <v>88</v>
      </c>
      <c r="B78" s="4" t="s">
        <v>93</v>
      </c>
      <c r="C78" s="4" t="s">
        <v>94</v>
      </c>
      <c r="D78" s="3" t="n">
        <v>8.0</v>
      </c>
      <c r="E78" s="4" t="s">
        <v>34</v>
      </c>
      <c r="F78" s="4" t="s">
        <v>35</v>
      </c>
      <c r="G78" s="4" t="s">
        <v>36</v>
      </c>
      <c r="H78" s="5" t="n">
        <f>2.0</f>
        <v>2.0</v>
      </c>
    </row>
    <row r="79">
      <c r="A79" s="3" t="s">
        <v>88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20.0</f>
        <v>20.0</v>
      </c>
    </row>
    <row r="80">
      <c r="A80" s="3" t="s">
        <v>88</v>
      </c>
      <c r="B80" s="4" t="s">
        <v>97</v>
      </c>
      <c r="C80" s="4" t="s">
        <v>98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100.0</f>
        <v>100.0</v>
      </c>
    </row>
    <row r="81">
      <c r="A81" s="3" t="s">
        <v>88</v>
      </c>
      <c r="B81" s="4" t="s">
        <v>97</v>
      </c>
      <c r="C81" s="4" t="s">
        <v>98</v>
      </c>
      <c r="D81" s="3" t="n">
        <v>1.0</v>
      </c>
      <c r="E81" s="4" t="s">
        <v>22</v>
      </c>
      <c r="F81" s="4" t="s">
        <v>23</v>
      </c>
      <c r="G81" s="4" t="s">
        <v>24</v>
      </c>
      <c r="H81" s="5" t="n">
        <f>100.0</f>
        <v>100.0</v>
      </c>
    </row>
    <row r="82">
      <c r="A82" s="3" t="s">
        <v>88</v>
      </c>
      <c r="B82" s="4" t="s">
        <v>99</v>
      </c>
      <c r="C82" s="4" t="s">
        <v>100</v>
      </c>
      <c r="D82" s="3" t="n">
        <v>1.0</v>
      </c>
      <c r="E82" s="4" t="s">
        <v>37</v>
      </c>
      <c r="F82" s="4" t="s">
        <v>38</v>
      </c>
      <c r="G82" s="4" t="s">
        <v>39</v>
      </c>
      <c r="H82" s="5" t="n">
        <f>950.0</f>
        <v>950.0</v>
      </c>
    </row>
    <row r="83">
      <c r="A83" s="3" t="s">
        <v>88</v>
      </c>
      <c r="B83" s="4" t="s">
        <v>99</v>
      </c>
      <c r="C83" s="4" t="s">
        <v>100</v>
      </c>
      <c r="D83" s="3" t="n">
        <v>2.0</v>
      </c>
      <c r="E83" s="4" t="s">
        <v>19</v>
      </c>
      <c r="F83" s="4" t="s">
        <v>20</v>
      </c>
      <c r="G83" s="4" t="s">
        <v>21</v>
      </c>
      <c r="H83" s="5" t="n">
        <f>620.0</f>
        <v>620.0</v>
      </c>
    </row>
    <row r="84">
      <c r="A84" s="3" t="s">
        <v>88</v>
      </c>
      <c r="B84" s="4" t="s">
        <v>99</v>
      </c>
      <c r="C84" s="4" t="s">
        <v>100</v>
      </c>
      <c r="D84" s="3" t="n">
        <v>3.0</v>
      </c>
      <c r="E84" s="4" t="s">
        <v>16</v>
      </c>
      <c r="F84" s="4" t="s">
        <v>17</v>
      </c>
      <c r="G84" s="4" t="s">
        <v>18</v>
      </c>
      <c r="H84" s="5" t="n">
        <f>450.0</f>
        <v>450.0</v>
      </c>
    </row>
    <row r="85">
      <c r="A85" s="3" t="s">
        <v>88</v>
      </c>
      <c r="B85" s="4" t="s">
        <v>99</v>
      </c>
      <c r="C85" s="4" t="s">
        <v>100</v>
      </c>
      <c r="D85" s="3" t="n">
        <v>4.0</v>
      </c>
      <c r="E85" s="4" t="s">
        <v>49</v>
      </c>
      <c r="F85" s="4" t="s">
        <v>50</v>
      </c>
      <c r="G85" s="4" t="s">
        <v>51</v>
      </c>
      <c r="H85" s="5" t="n">
        <f>300.0</f>
        <v>300.0</v>
      </c>
    </row>
    <row r="86">
      <c r="A86" s="3" t="s">
        <v>88</v>
      </c>
      <c r="B86" s="4" t="s">
        <v>99</v>
      </c>
      <c r="C86" s="4" t="s">
        <v>100</v>
      </c>
      <c r="D86" s="3" t="n">
        <v>5.0</v>
      </c>
      <c r="E86" s="4" t="s">
        <v>55</v>
      </c>
      <c r="F86" s="4" t="s">
        <v>56</v>
      </c>
      <c r="G86" s="4" t="s">
        <v>57</v>
      </c>
      <c r="H86" s="5" t="n">
        <f>200.0</f>
        <v>200.0</v>
      </c>
    </row>
    <row r="87">
      <c r="A87" s="3" t="s">
        <v>88</v>
      </c>
      <c r="B87" s="4" t="s">
        <v>99</v>
      </c>
      <c r="C87" s="4" t="s">
        <v>100</v>
      </c>
      <c r="D87" s="3" t="n">
        <v>5.0</v>
      </c>
      <c r="E87" s="4" t="s">
        <v>25</v>
      </c>
      <c r="F87" s="4" t="s">
        <v>26</v>
      </c>
      <c r="G87" s="4" t="s">
        <v>27</v>
      </c>
      <c r="H87" s="5" t="n">
        <f>200.0</f>
        <v>200.0</v>
      </c>
    </row>
    <row r="88">
      <c r="A88" s="3" t="s">
        <v>88</v>
      </c>
      <c r="B88" s="4" t="s">
        <v>99</v>
      </c>
      <c r="C88" s="4" t="s">
        <v>100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200.0</f>
        <v>200.0</v>
      </c>
    </row>
    <row r="89">
      <c r="A89" s="3" t="s">
        <v>88</v>
      </c>
      <c r="B89" s="4" t="s">
        <v>99</v>
      </c>
      <c r="C89" s="4" t="s">
        <v>100</v>
      </c>
      <c r="D89" s="3" t="n">
        <v>5.0</v>
      </c>
      <c r="E89" s="4" t="s">
        <v>64</v>
      </c>
      <c r="F89" s="4" t="s">
        <v>65</v>
      </c>
      <c r="G89" s="4" t="s">
        <v>66</v>
      </c>
      <c r="H89" s="5" t="n">
        <f>200.0</f>
        <v>200.0</v>
      </c>
    </row>
    <row r="90">
      <c r="A90" s="3" t="s">
        <v>88</v>
      </c>
      <c r="B90" s="4" t="s">
        <v>99</v>
      </c>
      <c r="C90" s="4" t="s">
        <v>100</v>
      </c>
      <c r="D90" s="3" t="n">
        <v>9.0</v>
      </c>
      <c r="E90" s="4" t="s">
        <v>31</v>
      </c>
      <c r="F90" s="4" t="s">
        <v>32</v>
      </c>
      <c r="G90" s="4" t="s">
        <v>33</v>
      </c>
      <c r="H90" s="5" t="n">
        <f>100.0</f>
        <v>100.0</v>
      </c>
    </row>
    <row r="91">
      <c r="A91" s="3" t="s">
        <v>88</v>
      </c>
      <c r="B91" s="4" t="s">
        <v>99</v>
      </c>
      <c r="C91" s="4" t="s">
        <v>100</v>
      </c>
      <c r="D91" s="3" t="n">
        <v>10.0</v>
      </c>
      <c r="E91" s="4" t="s">
        <v>70</v>
      </c>
      <c r="F91" s="4" t="s">
        <v>71</v>
      </c>
      <c r="G91" s="4" t="s">
        <v>72</v>
      </c>
      <c r="H91" s="5" t="n">
        <f>20.0</f>
        <v>20.0</v>
      </c>
    </row>
    <row r="92">
      <c r="A92" s="3" t="s">
        <v>88</v>
      </c>
      <c r="B92" s="4" t="s">
        <v>99</v>
      </c>
      <c r="C92" s="4" t="s">
        <v>100</v>
      </c>
      <c r="D92" s="3" t="n">
        <v>11.0</v>
      </c>
      <c r="E92" s="4" t="s">
        <v>34</v>
      </c>
      <c r="F92" s="4" t="s">
        <v>35</v>
      </c>
      <c r="G92" s="4" t="s">
        <v>36</v>
      </c>
      <c r="H92" s="5" t="n">
        <f>10.0</f>
        <v>10.0</v>
      </c>
    </row>
    <row r="93">
      <c r="A93" s="3" t="s">
        <v>88</v>
      </c>
      <c r="B93" s="4" t="s">
        <v>99</v>
      </c>
      <c r="C93" s="4" t="s">
        <v>100</v>
      </c>
      <c r="D93" s="3" t="n">
        <v>12.0</v>
      </c>
      <c r="E93" s="4" t="s">
        <v>52</v>
      </c>
      <c r="F93" s="4" t="s">
        <v>53</v>
      </c>
      <c r="G93" s="4" t="s">
        <v>54</v>
      </c>
      <c r="H93" s="5" t="n">
        <f>6.0</f>
        <v>6.0</v>
      </c>
    </row>
    <row r="94">
      <c r="A94" s="3" t="s">
        <v>88</v>
      </c>
      <c r="B94" s="4" t="s">
        <v>101</v>
      </c>
      <c r="C94" s="4" t="s">
        <v>102</v>
      </c>
      <c r="D94" s="3" t="n">
        <v>1.0</v>
      </c>
      <c r="E94" s="4" t="s">
        <v>34</v>
      </c>
      <c r="F94" s="4" t="s">
        <v>35</v>
      </c>
      <c r="G94" s="4" t="s">
        <v>36</v>
      </c>
      <c r="H94" s="5" t="n">
        <f>2.0</f>
        <v>2.0</v>
      </c>
    </row>
    <row r="95">
      <c r="A95" s="3" t="s">
        <v>88</v>
      </c>
      <c r="B95" s="4" t="s">
        <v>103</v>
      </c>
      <c r="C95" s="4" t="s">
        <v>104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20.0</f>
        <v>20.0</v>
      </c>
    </row>
    <row r="96">
      <c r="A96" s="3" t="s">
        <v>88</v>
      </c>
      <c r="B96" s="4" t="s">
        <v>105</v>
      </c>
      <c r="C96" s="4" t="s">
        <v>106</v>
      </c>
      <c r="D96" s="3" t="n">
        <v>1.0</v>
      </c>
      <c r="E96" s="4" t="s">
        <v>19</v>
      </c>
      <c r="F96" s="4" t="s">
        <v>20</v>
      </c>
      <c r="G96" s="4" t="s">
        <v>21</v>
      </c>
      <c r="H96" s="5" t="n">
        <f>100.0</f>
        <v>100.0</v>
      </c>
    </row>
    <row r="97">
      <c r="A97" s="3" t="s">
        <v>88</v>
      </c>
      <c r="B97" s="4" t="s">
        <v>105</v>
      </c>
      <c r="C97" s="4" t="s">
        <v>106</v>
      </c>
      <c r="D97" s="3" t="n">
        <v>2.0</v>
      </c>
      <c r="E97" s="4" t="s">
        <v>34</v>
      </c>
      <c r="F97" s="4" t="s">
        <v>35</v>
      </c>
      <c r="G97" s="4" t="s">
        <v>36</v>
      </c>
      <c r="H97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