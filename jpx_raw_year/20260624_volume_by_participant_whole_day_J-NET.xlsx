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<sst xmlns="http://schemas.openxmlformats.org/spreadsheetml/2006/main" count="442" uniqueCount="100">
  <si>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</si>
  <si>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</si>
  <si>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</si>
  <si>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</si>
  <si>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</si>
  <si>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</si>
  <si>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</si>
  <si>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</si>
  <si>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</si>
  <si>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20260624</t>
  </si>
  <si>
    <t>NK225F</t>
  </si>
  <si>
    <t>161090018</t>
  </si>
  <si>
    <t>NIKKEI 225 FUT 2609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</si>
  <si>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</si>
  <si>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</si>
  <si>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</si>
  <si>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</si>
  <si>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</si>
  <si>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</si>
  <si>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</si>
  <si>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</si>
  <si>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</si>
  <si>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11792</t>
  </si>
  <si>
    <t>シティグループ証券</t>
  </si>
  <si>
    <t>Citigroup Global Markets Japan</t>
  </si>
  <si>
    <t>11256</t>
  </si>
  <si>
    <t>ＳＢＩ証券</t>
  </si>
  <si>
    <t>SBI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</si>
  <si>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</si>
  <si>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</si>
  <si>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</si>
  <si>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</si>
  <si>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</si>
  <si>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</si>
  <si>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11696</t>
  </si>
  <si>
    <t>みずほ証券</t>
  </si>
  <si>
    <t>Mizuho Securities</t>
  </si>
  <si>
    <t>12410</t>
  </si>
  <si>
    <t>バークレイズ証券</t>
  </si>
  <si>
    <t>Barclays Securities Japan</t>
  </si>
  <si>
    <t>12057</t>
  </si>
  <si>
    <t>楽天証券</t>
  </si>
  <si>
    <t>Rakuten Securities</t>
  </si>
  <si>
    <t>12328</t>
  </si>
  <si>
    <t>ＳＭＢＣ日興証券</t>
  </si>
  <si>
    <t>SMBC Nikko Securities</t>
  </si>
  <si>
    <t>12000</t>
  </si>
  <si>
    <t>大和証券</t>
  </si>
  <si>
    <t>Daiwa Securities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</si>
  <si>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</si>
  <si>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</si>
  <si>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</si>
  <si>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</si>
  <si>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</si>
  <si>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</si>
  <si>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11560</t>
  </si>
  <si>
    <t>ゴールドマン証券</t>
  </si>
  <si>
    <t>Goldman Sachs Japan</t>
  </si>
  <si>
    <t>13004</t>
  </si>
  <si>
    <t>サスケハナ・ホンコン</t>
  </si>
  <si>
    <t>Susquehanna Hong Kong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</si>
  <si>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</si>
  <si>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</si>
  <si>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</si>
  <si>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</si>
  <si>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</si>
  <si>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</si>
  <si>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11520</t>
  </si>
  <si>
    <t>三菱ＵＦＪ証券</t>
  </si>
  <si>
    <t>Mitsubishi UFJ Morgan Stanley Securities</t>
  </si>
  <si>
    <t>11272</t>
  </si>
  <si>
    <t>岡三証券</t>
  </si>
  <si>
    <t>OKASAN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</si>
  <si>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</si>
  <si>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</si>
  <si>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</si>
  <si>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</si>
  <si>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</si>
  <si>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</si>
  <si>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</si>
  <si>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</si>
  <si>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</si>
  <si>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</si>
  <si>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</si>
  <si>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</si>
  <si>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NK225E</t>
  </si>
  <si>
    <t>181198518</t>
  </si>
  <si>
    <t>NIKKEI 225 OOP P2607-68500</t>
  </si>
  <si>
    <t>131319018</t>
  </si>
  <si>
    <t>NIKKEI 225 OOP P2607-69000</t>
  </si>
  <si>
    <t>181199218</t>
  </si>
  <si>
    <t>NIKKEI 225 OOP P2607-69250</t>
  </si>
  <si>
    <t>141310018</t>
  </si>
  <si>
    <t>NIKKEI 225 OOP C2607-70000</t>
  </si>
  <si>
    <t>191199718</t>
  </si>
  <si>
    <t>NIKKEI 225 OOP C2607-69750</t>
  </si>
  <si>
    <t>191199518</t>
  </si>
  <si>
    <t>NIKKEI 225 OOP C2607-69500</t>
  </si>
  <si>
    <t>141319018</t>
  </si>
  <si>
    <t>NIKKEI 225 OOP C2607-69000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</si>
</sst>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3261.0</f>
        <v>3261.0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2654.0</f>
        <v>2654.0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2627.0</f>
        <v>2627.0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2122.0</f>
        <v>2122.0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2041.0</f>
        <v>2041.0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1242.0</f>
        <v>1242.0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1029.0</f>
        <v>1029.0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697.0</f>
        <v>697.0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659.0</f>
        <v>659.0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504.0</f>
        <v>504.0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416.0</f>
        <v>416.0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380.0</f>
        <v>380.0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377.0</f>
        <v>377.0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356.0</f>
        <v>356.0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320.0</f>
        <v>320.0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170.0</f>
        <v>170.0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157.0</f>
        <v>157.0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108.0</f>
        <v>108.0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73.0</f>
        <v>73.0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59.0</f>
        <v>59.0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600.0</f>
        <v>600.0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600.0</f>
        <v>600.0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200.0</f>
        <v>200.0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100.0</f>
        <v>100.0</v>
      </c>
    </row>
    <row r="33">
      <c r="A33" s="3" t="s">
        <v>10</v>
      </c>
      <c r="B33" s="4" t="s">
        <v>73</v>
      </c>
      <c r="C33" s="4" t="s">
        <v>74</v>
      </c>
      <c r="D33" s="3" t="n">
        <v>4.0</v>
      </c>
      <c r="E33" s="4" t="s">
        <v>31</v>
      </c>
      <c r="F33" s="4" t="s">
        <v>32</v>
      </c>
      <c r="G33" s="4" t="s">
        <v>33</v>
      </c>
      <c r="H33" s="5" t="n">
        <f>100.0</f>
        <v>100.0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25</v>
      </c>
      <c r="F34" s="4" t="s">
        <v>26</v>
      </c>
      <c r="G34" s="4" t="s">
        <v>27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4.0</f>
        <v>4.0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25</v>
      </c>
      <c r="F36" s="4" t="s">
        <v>26</v>
      </c>
      <c r="G36" s="4" t="s">
        <v>27</v>
      </c>
      <c r="H36" s="5" t="n">
        <f>7160.0</f>
        <v>7160.0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40</v>
      </c>
      <c r="F37" s="4" t="s">
        <v>41</v>
      </c>
      <c r="G37" s="4" t="s">
        <v>42</v>
      </c>
      <c r="H37" s="5" t="n">
        <f>3802.0</f>
        <v>3802.0</v>
      </c>
    </row>
    <row r="38">
      <c r="A38" s="3" t="s">
        <v>75</v>
      </c>
      <c r="B38" s="4" t="s">
        <v>76</v>
      </c>
      <c r="C38" s="4" t="s">
        <v>77</v>
      </c>
      <c r="D38" s="3" t="n">
        <v>3.0</v>
      </c>
      <c r="E38" s="4" t="s">
        <v>16</v>
      </c>
      <c r="F38" s="4" t="s">
        <v>17</v>
      </c>
      <c r="G38" s="4" t="s">
        <v>18</v>
      </c>
      <c r="H38" s="5" t="n">
        <f>1000.0</f>
        <v>1000.0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31</v>
      </c>
      <c r="F39" s="4" t="s">
        <v>32</v>
      </c>
      <c r="G39" s="4" t="s">
        <v>33</v>
      </c>
      <c r="H39" s="5" t="n">
        <f>1000.0</f>
        <v>1000.0</v>
      </c>
    </row>
    <row r="40">
      <c r="A40" s="3" t="s">
        <v>75</v>
      </c>
      <c r="B40" s="4" t="s">
        <v>76</v>
      </c>
      <c r="C40" s="4" t="s">
        <v>77</v>
      </c>
      <c r="D40" s="3" t="n">
        <v>5.0</v>
      </c>
      <c r="E40" s="4" t="s">
        <v>64</v>
      </c>
      <c r="F40" s="4" t="s">
        <v>65</v>
      </c>
      <c r="G40" s="4" t="s">
        <v>66</v>
      </c>
      <c r="H40" s="5" t="n">
        <f>302.0</f>
        <v>302.0</v>
      </c>
    </row>
    <row r="41">
      <c r="A41" s="3" t="s">
        <v>75</v>
      </c>
      <c r="B41" s="4" t="s">
        <v>78</v>
      </c>
      <c r="C41" s="4" t="s">
        <v>79</v>
      </c>
      <c r="D41" s="3" t="n">
        <v>1.0</v>
      </c>
      <c r="E41" s="4" t="s">
        <v>25</v>
      </c>
      <c r="F41" s="4" t="s">
        <v>26</v>
      </c>
      <c r="G41" s="4" t="s">
        <v>27</v>
      </c>
      <c r="H41" s="5" t="n">
        <f>182.0</f>
        <v>182.0</v>
      </c>
    </row>
    <row r="42">
      <c r="A42" s="3" t="s">
        <v>75</v>
      </c>
      <c r="B42" s="4" t="s">
        <v>78</v>
      </c>
      <c r="C42" s="4" t="s">
        <v>79</v>
      </c>
      <c r="D42" s="3" t="n">
        <v>2.0</v>
      </c>
      <c r="E42" s="4" t="s">
        <v>40</v>
      </c>
      <c r="F42" s="4" t="s">
        <v>41</v>
      </c>
      <c r="G42" s="4" t="s">
        <v>42</v>
      </c>
      <c r="H42" s="5" t="n">
        <f>16.0</f>
        <v>16.0</v>
      </c>
    </row>
    <row r="43">
      <c r="A43" s="3" t="s">
        <v>75</v>
      </c>
      <c r="B43" s="4" t="s">
        <v>78</v>
      </c>
      <c r="C43" s="4" t="s">
        <v>79</v>
      </c>
      <c r="D43" s="3" t="n">
        <v>3.0</v>
      </c>
      <c r="E43" s="4" t="s">
        <v>64</v>
      </c>
      <c r="F43" s="4" t="s">
        <v>65</v>
      </c>
      <c r="G43" s="4" t="s">
        <v>66</v>
      </c>
      <c r="H43" s="5" t="n">
        <f>2.0</f>
        <v>2.0</v>
      </c>
    </row>
    <row r="44">
      <c r="A44" s="3" t="s">
        <v>75</v>
      </c>
      <c r="B44" s="4" t="s">
        <v>80</v>
      </c>
      <c r="C44" s="4" t="s">
        <v>81</v>
      </c>
      <c r="D44" s="3" t="n">
        <v>1.0</v>
      </c>
      <c r="E44" s="4" t="s">
        <v>25</v>
      </c>
      <c r="F44" s="4" t="s">
        <v>26</v>
      </c>
      <c r="G44" s="4" t="s">
        <v>27</v>
      </c>
      <c r="H44" s="5" t="n">
        <f>45826.0</f>
        <v>45826.0</v>
      </c>
    </row>
    <row r="45">
      <c r="A45" s="3" t="s">
        <v>75</v>
      </c>
      <c r="B45" s="4" t="s">
        <v>80</v>
      </c>
      <c r="C45" s="4" t="s">
        <v>81</v>
      </c>
      <c r="D45" s="3" t="n">
        <v>2.0</v>
      </c>
      <c r="E45" s="4" t="s">
        <v>40</v>
      </c>
      <c r="F45" s="4" t="s">
        <v>41</v>
      </c>
      <c r="G45" s="4" t="s">
        <v>42</v>
      </c>
      <c r="H45" s="5" t="n">
        <f>21566.0</f>
        <v>21566.0</v>
      </c>
    </row>
    <row r="46">
      <c r="A46" s="3" t="s">
        <v>75</v>
      </c>
      <c r="B46" s="4" t="s">
        <v>80</v>
      </c>
      <c r="C46" s="4" t="s">
        <v>81</v>
      </c>
      <c r="D46" s="3" t="n">
        <v>3.0</v>
      </c>
      <c r="E46" s="4" t="s">
        <v>64</v>
      </c>
      <c r="F46" s="4" t="s">
        <v>65</v>
      </c>
      <c r="G46" s="4" t="s">
        <v>66</v>
      </c>
      <c r="H46" s="5" t="n">
        <f>7084.0</f>
        <v>7084.0</v>
      </c>
    </row>
    <row r="47">
      <c r="A47" s="3" t="s">
        <v>75</v>
      </c>
      <c r="B47" s="4" t="s">
        <v>80</v>
      </c>
      <c r="C47" s="4" t="s">
        <v>81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300.0</f>
        <v>300.0</v>
      </c>
    </row>
    <row r="48">
      <c r="A48" s="3" t="s">
        <v>75</v>
      </c>
      <c r="B48" s="4" t="s">
        <v>80</v>
      </c>
      <c r="C48" s="4" t="s">
        <v>81</v>
      </c>
      <c r="D48" s="3" t="n">
        <v>5.0</v>
      </c>
      <c r="E48" s="4" t="s">
        <v>34</v>
      </c>
      <c r="F48" s="4" t="s">
        <v>35</v>
      </c>
      <c r="G48" s="4" t="s">
        <v>36</v>
      </c>
      <c r="H48" s="5" t="n">
        <f>170.0</f>
        <v>170.0</v>
      </c>
    </row>
    <row r="49">
      <c r="A49" s="3" t="s">
        <v>75</v>
      </c>
      <c r="B49" s="4" t="s">
        <v>80</v>
      </c>
      <c r="C49" s="4" t="s">
        <v>81</v>
      </c>
      <c r="D49" s="3" t="n">
        <v>6.0</v>
      </c>
      <c r="E49" s="4" t="s">
        <v>55</v>
      </c>
      <c r="F49" s="4" t="s">
        <v>56</v>
      </c>
      <c r="G49" s="4" t="s">
        <v>57</v>
      </c>
      <c r="H49" s="5" t="n">
        <f>142.0</f>
        <v>142.0</v>
      </c>
    </row>
    <row r="50">
      <c r="A50" s="3" t="s">
        <v>75</v>
      </c>
      <c r="B50" s="4" t="s">
        <v>80</v>
      </c>
      <c r="C50" s="4" t="s">
        <v>81</v>
      </c>
      <c r="D50" s="3" t="n">
        <v>7.0</v>
      </c>
      <c r="E50" s="4" t="s">
        <v>49</v>
      </c>
      <c r="F50" s="4" t="s">
        <v>50</v>
      </c>
      <c r="G50" s="4" t="s">
        <v>51</v>
      </c>
      <c r="H50" s="5" t="n">
        <f>1.0</f>
        <v>1.0</v>
      </c>
    </row>
    <row r="51">
      <c r="A51" s="3" t="s">
        <v>75</v>
      </c>
      <c r="B51" s="4" t="s">
        <v>80</v>
      </c>
      <c r="C51" s="4" t="s">
        <v>81</v>
      </c>
      <c r="D51" s="3" t="n">
        <v>7.0</v>
      </c>
      <c r="E51" s="4" t="s">
        <v>16</v>
      </c>
      <c r="F51" s="4" t="s">
        <v>17</v>
      </c>
      <c r="G51" s="4" t="s">
        <v>18</v>
      </c>
      <c r="H51" s="5" t="n">
        <f>1.0</f>
        <v>1.0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19</v>
      </c>
      <c r="F52" s="4" t="s">
        <v>20</v>
      </c>
      <c r="G52" s="4" t="s">
        <v>21</v>
      </c>
      <c r="H52" s="5" t="n">
        <f>3730.0</f>
        <v>3730.0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55</v>
      </c>
      <c r="F53" s="4" t="s">
        <v>56</v>
      </c>
      <c r="G53" s="4" t="s">
        <v>57</v>
      </c>
      <c r="H53" s="5" t="n">
        <f>2691.0</f>
        <v>2691.0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22</v>
      </c>
      <c r="F54" s="4" t="s">
        <v>23</v>
      </c>
      <c r="G54" s="4" t="s">
        <v>24</v>
      </c>
      <c r="H54" s="5" t="n">
        <f>2404.0</f>
        <v>2404.0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34</v>
      </c>
      <c r="F55" s="4" t="s">
        <v>35</v>
      </c>
      <c r="G55" s="4" t="s">
        <v>36</v>
      </c>
      <c r="H55" s="5" t="n">
        <f>2381.0</f>
        <v>2381.0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52</v>
      </c>
      <c r="F56" s="4" t="s">
        <v>53</v>
      </c>
      <c r="G56" s="4" t="s">
        <v>54</v>
      </c>
      <c r="H56" s="5" t="n">
        <f>1315.0</f>
        <v>1315.0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49</v>
      </c>
      <c r="F57" s="4" t="s">
        <v>50</v>
      </c>
      <c r="G57" s="4" t="s">
        <v>51</v>
      </c>
      <c r="H57" s="5" t="n">
        <f>700.0</f>
        <v>700.0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28</v>
      </c>
      <c r="F58" s="4" t="s">
        <v>29</v>
      </c>
      <c r="G58" s="4" t="s">
        <v>30</v>
      </c>
      <c r="H58" s="5" t="n">
        <f>602.0</f>
        <v>602.0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25</v>
      </c>
      <c r="F59" s="4" t="s">
        <v>26</v>
      </c>
      <c r="G59" s="4" t="s">
        <v>27</v>
      </c>
      <c r="H59" s="5" t="n">
        <f>442.0</f>
        <v>442.0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13</v>
      </c>
      <c r="F60" s="4" t="s">
        <v>14</v>
      </c>
      <c r="G60" s="4" t="s">
        <v>15</v>
      </c>
      <c r="H60" s="5" t="n">
        <f>440.0</f>
        <v>440.0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46</v>
      </c>
      <c r="F61" s="4" t="s">
        <v>47</v>
      </c>
      <c r="G61" s="4" t="s">
        <v>48</v>
      </c>
      <c r="H61" s="5" t="n">
        <f>413.0</f>
        <v>413.0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43</v>
      </c>
      <c r="F62" s="4" t="s">
        <v>44</v>
      </c>
      <c r="G62" s="4" t="s">
        <v>45</v>
      </c>
      <c r="H62" s="5" t="n">
        <f>350.0</f>
        <v>350.0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67</v>
      </c>
      <c r="F63" s="4" t="s">
        <v>68</v>
      </c>
      <c r="G63" s="4" t="s">
        <v>69</v>
      </c>
      <c r="H63" s="5" t="n">
        <f>200.0</f>
        <v>200.0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16</v>
      </c>
      <c r="F64" s="4" t="s">
        <v>17</v>
      </c>
      <c r="G64" s="4" t="s">
        <v>18</v>
      </c>
      <c r="H64" s="5" t="n">
        <f>119.0</f>
        <v>119.0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31</v>
      </c>
      <c r="F65" s="4" t="s">
        <v>32</v>
      </c>
      <c r="G65" s="4" t="s">
        <v>33</v>
      </c>
      <c r="H65" s="5" t="n">
        <f>41.0</f>
        <v>41.0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64</v>
      </c>
      <c r="F66" s="4" t="s">
        <v>65</v>
      </c>
      <c r="G66" s="4" t="s">
        <v>66</v>
      </c>
      <c r="H66" s="5" t="n">
        <f>16.0</f>
        <v>16.0</v>
      </c>
    </row>
    <row r="67">
      <c r="A67" s="3" t="s">
        <v>85</v>
      </c>
      <c r="B67" s="4" t="s">
        <v>86</v>
      </c>
      <c r="C67" s="4" t="s">
        <v>87</v>
      </c>
      <c r="D67" s="3" t="n">
        <v>1.0</v>
      </c>
      <c r="E67" s="4" t="s">
        <v>25</v>
      </c>
      <c r="F67" s="4" t="s">
        <v>26</v>
      </c>
      <c r="G67" s="4" t="s">
        <v>27</v>
      </c>
      <c r="H67" s="5" t="n">
        <f>2.0</f>
        <v>2.0</v>
      </c>
    </row>
    <row r="68">
      <c r="A68" s="3" t="s">
        <v>85</v>
      </c>
      <c r="B68" s="4" t="s">
        <v>88</v>
      </c>
      <c r="C68" s="4" t="s">
        <v>89</v>
      </c>
      <c r="D68" s="3" t="n">
        <v>1.0</v>
      </c>
      <c r="E68" s="4" t="s">
        <v>28</v>
      </c>
      <c r="F68" s="4" t="s">
        <v>29</v>
      </c>
      <c r="G68" s="4" t="s">
        <v>30</v>
      </c>
      <c r="H68" s="5" t="n">
        <f>100.0</f>
        <v>100.0</v>
      </c>
    </row>
    <row r="69">
      <c r="A69" s="3" t="s">
        <v>85</v>
      </c>
      <c r="B69" s="4" t="s">
        <v>88</v>
      </c>
      <c r="C69" s="4" t="s">
        <v>89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100.0</f>
        <v>100.0</v>
      </c>
    </row>
    <row r="70">
      <c r="A70" s="3" t="s">
        <v>85</v>
      </c>
      <c r="B70" s="4" t="s">
        <v>88</v>
      </c>
      <c r="C70" s="4" t="s">
        <v>89</v>
      </c>
      <c r="D70" s="3" t="n">
        <v>3.0</v>
      </c>
      <c r="E70" s="4" t="s">
        <v>40</v>
      </c>
      <c r="F70" s="4" t="s">
        <v>41</v>
      </c>
      <c r="G70" s="4" t="s">
        <v>42</v>
      </c>
      <c r="H70" s="5" t="n">
        <f>12.0</f>
        <v>12.0</v>
      </c>
    </row>
    <row r="71">
      <c r="A71" s="3" t="s">
        <v>85</v>
      </c>
      <c r="B71" s="4" t="s">
        <v>88</v>
      </c>
      <c r="C71" s="4" t="s">
        <v>89</v>
      </c>
      <c r="D71" s="3" t="n">
        <v>4.0</v>
      </c>
      <c r="E71" s="4" t="s">
        <v>25</v>
      </c>
      <c r="F71" s="4" t="s">
        <v>26</v>
      </c>
      <c r="G71" s="4" t="s">
        <v>27</v>
      </c>
      <c r="H71" s="5" t="n">
        <f>2.0</f>
        <v>2.0</v>
      </c>
    </row>
    <row r="72">
      <c r="A72" s="3" t="s">
        <v>85</v>
      </c>
      <c r="B72" s="4" t="s">
        <v>90</v>
      </c>
      <c r="C72" s="4" t="s">
        <v>91</v>
      </c>
      <c r="D72" s="3" t="n">
        <v>1.0</v>
      </c>
      <c r="E72" s="4" t="s">
        <v>28</v>
      </c>
      <c r="F72" s="4" t="s">
        <v>29</v>
      </c>
      <c r="G72" s="4" t="s">
        <v>30</v>
      </c>
      <c r="H72" s="5" t="n">
        <f>100.0</f>
        <v>100.0</v>
      </c>
    </row>
    <row r="73">
      <c r="A73" s="3" t="s">
        <v>85</v>
      </c>
      <c r="B73" s="4" t="s">
        <v>90</v>
      </c>
      <c r="C73" s="4" t="s">
        <v>91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100.0</f>
        <v>100.0</v>
      </c>
    </row>
    <row r="74">
      <c r="A74" s="3" t="s">
        <v>85</v>
      </c>
      <c r="B74" s="4" t="s">
        <v>92</v>
      </c>
      <c r="C74" s="4" t="s">
        <v>93</v>
      </c>
      <c r="D74" s="3" t="n">
        <v>1.0</v>
      </c>
      <c r="E74" s="4" t="s">
        <v>25</v>
      </c>
      <c r="F74" s="4" t="s">
        <v>26</v>
      </c>
      <c r="G74" s="4" t="s">
        <v>27</v>
      </c>
      <c r="H74" s="5" t="n">
        <f>14.0</f>
        <v>14.0</v>
      </c>
    </row>
    <row r="75">
      <c r="A75" s="3" t="s">
        <v>85</v>
      </c>
      <c r="B75" s="4" t="s">
        <v>92</v>
      </c>
      <c r="C75" s="4" t="s">
        <v>93</v>
      </c>
      <c r="D75" s="3" t="n">
        <v>2.0</v>
      </c>
      <c r="E75" s="4" t="s">
        <v>40</v>
      </c>
      <c r="F75" s="4" t="s">
        <v>41</v>
      </c>
      <c r="G75" s="4" t="s">
        <v>42</v>
      </c>
      <c r="H75" s="5" t="n">
        <f>2.0</f>
        <v>2.0</v>
      </c>
    </row>
    <row r="76">
      <c r="A76" s="3" t="s">
        <v>85</v>
      </c>
      <c r="B76" s="4" t="s">
        <v>94</v>
      </c>
      <c r="C76" s="4" t="s">
        <v>95</v>
      </c>
      <c r="D76" s="3" t="n">
        <v>1.0</v>
      </c>
      <c r="E76" s="4" t="s">
        <v>40</v>
      </c>
      <c r="F76" s="4" t="s">
        <v>41</v>
      </c>
      <c r="G76" s="4" t="s">
        <v>42</v>
      </c>
      <c r="H76" s="5" t="n">
        <f>2.0</f>
        <v>2.0</v>
      </c>
    </row>
    <row r="77">
      <c r="A77" s="3" t="s">
        <v>85</v>
      </c>
      <c r="B77" s="4" t="s">
        <v>96</v>
      </c>
      <c r="C77" s="4" t="s">
        <v>97</v>
      </c>
      <c r="D77" s="3" t="n">
        <v>1.0</v>
      </c>
      <c r="E77" s="4" t="s">
        <v>28</v>
      </c>
      <c r="F77" s="4" t="s">
        <v>29</v>
      </c>
      <c r="G77" s="4" t="s">
        <v>30</v>
      </c>
      <c r="H77" s="5" t="n">
        <f>100.0</f>
        <v>100.0</v>
      </c>
    </row>
    <row r="78">
      <c r="A78" s="3" t="s">
        <v>85</v>
      </c>
      <c r="B78" s="4" t="s">
        <v>96</v>
      </c>
      <c r="C78" s="4" t="s">
        <v>97</v>
      </c>
      <c r="D78" s="3" t="n">
        <v>1.0</v>
      </c>
      <c r="E78" s="4" t="s">
        <v>31</v>
      </c>
      <c r="F78" s="4" t="s">
        <v>32</v>
      </c>
      <c r="G78" s="4" t="s">
        <v>33</v>
      </c>
      <c r="H78" s="5" t="n">
        <f>100.0</f>
        <v>100.0</v>
      </c>
    </row>
    <row r="79">
      <c r="A79" s="3" t="s">
        <v>85</v>
      </c>
      <c r="B79" s="4" t="s">
        <v>96</v>
      </c>
      <c r="C79" s="4" t="s">
        <v>97</v>
      </c>
      <c r="D79" s="3" t="n">
        <v>3.0</v>
      </c>
      <c r="E79" s="4" t="s">
        <v>25</v>
      </c>
      <c r="F79" s="4" t="s">
        <v>26</v>
      </c>
      <c r="G79" s="4" t="s">
        <v>27</v>
      </c>
      <c r="H79" s="5" t="n">
        <f>8.0</f>
        <v>8.0</v>
      </c>
    </row>
    <row r="80">
      <c r="A80" s="3" t="s">
        <v>85</v>
      </c>
      <c r="B80" s="4" t="s">
        <v>98</v>
      </c>
      <c r="C80" s="4" t="s">
        <v>99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18.0</f>
        <v>18.0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