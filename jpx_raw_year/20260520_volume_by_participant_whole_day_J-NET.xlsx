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<sst xmlns="http://schemas.openxmlformats.org/spreadsheetml/2006/main" count="466" uniqueCount="109">
  <si>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</si>
  <si>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</si>
  <si>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</si>
  <si>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</si>
  <si>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</si>
  <si>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</si>
  <si>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</si>
  <si>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</si>
  <si>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</si>
  <si>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</si>
  <si>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</si>
  <si>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</si>
  <si>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</si>
  <si>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</si>
  <si>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</si>
  <si>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</si>
  <si>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</si>
  <si>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</si>
  <si>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</si>
  <si>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</si>
  <si>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</si>
  <si>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</si>
  <si>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</si>
  <si>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</si>
  <si>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</si>
  <si>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</si>
  <si>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</si>
  <si>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</si>
  <si>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</si>
  <si>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</si>
  <si>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</si>
  <si>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</si>
  <si>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</si>
  <si>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</si>
  <si>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</si>
  <si>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</si>
  <si>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</si>
  <si>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</si>
  <si>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</si>
  <si>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</si>
  <si>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</si>
  <si>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</si>
  <si>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</si>
  <si>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</si>
  <si>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</si>
  <si>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</si>
  <si>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</si>
  <si>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</si>
  <si>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</si>
  <si>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</si>
  <si>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</si>
  <si>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</si>
  <si>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</si>
  <si>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</si>
  <si>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</si>
  <si>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</si>
  <si>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</si>
  <si>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</si>
  <si>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</si>
  <si>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</si>
  <si>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</si>
  <si>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</si>
  <si>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</si>
  <si>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</si>
  <si>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</si>
  <si>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</si>
  <si>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</si>
  <si>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</si>
  <si>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</si>
  <si>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</si>
  <si>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161090018</t>
  </si>
  <si>
    <t>NIKKEI 225 FUT 2609</t>
  </si>
  <si>
    <t>NK225MF</t>
  </si>
  <si>
    <t>161060019</t>
  </si>
  <si>
    <t>MINI NK225 FUT 2606</t>
  </si>
  <si>
    <t>12072</t>
  </si>
  <si>
    <t>東海東京証券</t>
  </si>
  <si>
    <t>Tokai Tokyo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</si>
  <si>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</si>
  <si>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</si>
  <si>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</si>
  <si>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</si>
  <si>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</si>
  <si>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</si>
  <si>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</si>
  <si>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</si>
  <si>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</si>
  <si>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</si>
  <si>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</si>
  <si>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</si>
  <si>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</si>
  <si>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131309018</t>
  </si>
  <si>
    <t>NIKKEI 225 OOP P2606-59000</t>
  </si>
  <si>
    <t>131309218</t>
  </si>
  <si>
    <t>NIKKEI 225 OOP P2606-59250</t>
  </si>
  <si>
    <t>131309518</t>
  </si>
  <si>
    <t>NIKKEI 225 OOP P2606-59500</t>
  </si>
  <si>
    <t>131300018</t>
  </si>
  <si>
    <t>NIKKEI 225 OOP P2606-60000</t>
  </si>
  <si>
    <t>141300718</t>
  </si>
  <si>
    <t>NIKKEI 225 OOP C2606-60750</t>
  </si>
  <si>
    <t>141300518</t>
  </si>
  <si>
    <t>NIKKEI 225 OOP C2606-60500</t>
  </si>
  <si>
    <t>141300018</t>
  </si>
  <si>
    <t>NIKKEI 225 OOP C2606-60000</t>
  </si>
  <si>
    <t>191069818</t>
  </si>
  <si>
    <t>NIKKEI 225 OOP C2606-59875</t>
  </si>
  <si>
    <t>141309518</t>
  </si>
  <si>
    <t>NIKKEI 225 OOP C2606-59500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</si>
</sst>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1759.0</f>
        <v>1759.0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1309.0</f>
        <v>1309.0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1223.0</f>
        <v>1223.0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1179.0</f>
        <v>1179.0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959.0</f>
        <v>959.0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326.0</f>
        <v>326.0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306.0</f>
        <v>306.0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300.0</f>
        <v>300.0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290.0</f>
        <v>290.0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287.0</f>
        <v>287.0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279.0</f>
        <v>279.0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140.0</f>
        <v>140.0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128.0</f>
        <v>128.0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117.0</f>
        <v>117.0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100.0</f>
        <v>100.0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98.0</f>
        <v>98.0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19.0</f>
        <v>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18.0</f>
        <v>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3.0</f>
        <v>3.0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25</v>
      </c>
      <c r="F28" s="4" t="s">
        <v>26</v>
      </c>
      <c r="G28" s="4" t="s">
        <v>27</v>
      </c>
      <c r="H28" s="5" t="n">
        <f>400.0</f>
        <v>400.0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400.0</f>
        <v>400.0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28</v>
      </c>
      <c r="F30" s="4" t="s">
        <v>29</v>
      </c>
      <c r="G30" s="4" t="s">
        <v>30</v>
      </c>
      <c r="H30" s="5" t="n">
        <f>200.0</f>
        <v>200.0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100.0</f>
        <v>100.0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34</v>
      </c>
      <c r="F33" s="4" t="s">
        <v>35</v>
      </c>
      <c r="G33" s="4" t="s">
        <v>36</v>
      </c>
      <c r="H33" s="5" t="n">
        <f>28.0</f>
        <v>28.0</v>
      </c>
    </row>
    <row r="34">
      <c r="A34" s="3" t="s">
        <v>10</v>
      </c>
      <c r="B34" s="4" t="s">
        <v>70</v>
      </c>
      <c r="C34" s="4" t="s">
        <v>71</v>
      </c>
      <c r="D34" s="3" t="n">
        <v>7.0</v>
      </c>
      <c r="E34" s="4" t="s">
        <v>58</v>
      </c>
      <c r="F34" s="4" t="s">
        <v>59</v>
      </c>
      <c r="G34" s="4" t="s">
        <v>60</v>
      </c>
      <c r="H34" s="5" t="n">
        <f>6.0</f>
        <v>6.0</v>
      </c>
    </row>
    <row r="35">
      <c r="A35" s="3" t="s">
        <v>10</v>
      </c>
      <c r="B35" s="4" t="s">
        <v>70</v>
      </c>
      <c r="C35" s="4" t="s">
        <v>71</v>
      </c>
      <c r="D35" s="3" t="n">
        <v>7.0</v>
      </c>
      <c r="E35" s="4" t="s">
        <v>16</v>
      </c>
      <c r="F35" s="4" t="s">
        <v>17</v>
      </c>
      <c r="G35" s="4" t="s">
        <v>18</v>
      </c>
      <c r="H35" s="5" t="n">
        <f>6.0</f>
        <v>6.0</v>
      </c>
    </row>
    <row r="36">
      <c r="A36" s="3" t="s">
        <v>72</v>
      </c>
      <c r="B36" s="4" t="s">
        <v>73</v>
      </c>
      <c r="C36" s="4" t="s">
        <v>74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54934.0</f>
        <v>54934.0</v>
      </c>
    </row>
    <row r="37">
      <c r="A37" s="3" t="s">
        <v>72</v>
      </c>
      <c r="B37" s="4" t="s">
        <v>73</v>
      </c>
      <c r="C37" s="4" t="s">
        <v>74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30834.0</f>
        <v>30834.0</v>
      </c>
    </row>
    <row r="38">
      <c r="A38" s="3" t="s">
        <v>72</v>
      </c>
      <c r="B38" s="4" t="s">
        <v>73</v>
      </c>
      <c r="C38" s="4" t="s">
        <v>74</v>
      </c>
      <c r="D38" s="3" t="n">
        <v>3.0</v>
      </c>
      <c r="E38" s="4" t="s">
        <v>58</v>
      </c>
      <c r="F38" s="4" t="s">
        <v>59</v>
      </c>
      <c r="G38" s="4" t="s">
        <v>60</v>
      </c>
      <c r="H38" s="5" t="n">
        <f>6148.0</f>
        <v>6148.0</v>
      </c>
    </row>
    <row r="39">
      <c r="A39" s="3" t="s">
        <v>72</v>
      </c>
      <c r="B39" s="4" t="s">
        <v>73</v>
      </c>
      <c r="C39" s="4" t="s">
        <v>74</v>
      </c>
      <c r="D39" s="3" t="n">
        <v>4.0</v>
      </c>
      <c r="E39" s="4" t="s">
        <v>37</v>
      </c>
      <c r="F39" s="4" t="s">
        <v>38</v>
      </c>
      <c r="G39" s="4" t="s">
        <v>39</v>
      </c>
      <c r="H39" s="5" t="n">
        <f>73.0</f>
        <v>73.0</v>
      </c>
    </row>
    <row r="40">
      <c r="A40" s="3" t="s">
        <v>72</v>
      </c>
      <c r="B40" s="4" t="s">
        <v>73</v>
      </c>
      <c r="C40" s="4" t="s">
        <v>74</v>
      </c>
      <c r="D40" s="3" t="n">
        <v>4.0</v>
      </c>
      <c r="E40" s="4" t="s">
        <v>75</v>
      </c>
      <c r="F40" s="4" t="s">
        <v>76</v>
      </c>
      <c r="G40" s="4" t="s">
        <v>77</v>
      </c>
      <c r="H40" s="5" t="n">
        <f>73.0</f>
        <v>73.0</v>
      </c>
    </row>
    <row r="41">
      <c r="A41" s="3" t="s">
        <v>72</v>
      </c>
      <c r="B41" s="4" t="s">
        <v>73</v>
      </c>
      <c r="C41" s="4" t="s">
        <v>74</v>
      </c>
      <c r="D41" s="3" t="n">
        <v>6.0</v>
      </c>
      <c r="E41" s="4" t="s">
        <v>22</v>
      </c>
      <c r="F41" s="4" t="s">
        <v>23</v>
      </c>
      <c r="G41" s="4" t="s">
        <v>24</v>
      </c>
      <c r="H41" s="5" t="n">
        <f>42.0</f>
        <v>42.0</v>
      </c>
    </row>
    <row r="42">
      <c r="A42" s="3" t="s">
        <v>72</v>
      </c>
      <c r="B42" s="4" t="s">
        <v>73</v>
      </c>
      <c r="C42" s="4" t="s">
        <v>74</v>
      </c>
      <c r="D42" s="3" t="n">
        <v>7.0</v>
      </c>
      <c r="E42" s="4" t="s">
        <v>49</v>
      </c>
      <c r="F42" s="4" t="s">
        <v>50</v>
      </c>
      <c r="G42" s="4" t="s">
        <v>51</v>
      </c>
      <c r="H42" s="5" t="n">
        <f>12.0</f>
        <v>12.0</v>
      </c>
    </row>
    <row r="43">
      <c r="A43" s="3" t="s">
        <v>72</v>
      </c>
      <c r="B43" s="4" t="s">
        <v>73</v>
      </c>
      <c r="C43" s="4" t="s">
        <v>74</v>
      </c>
      <c r="D43" s="3" t="n">
        <v>8.0</v>
      </c>
      <c r="E43" s="4" t="s">
        <v>40</v>
      </c>
      <c r="F43" s="4" t="s">
        <v>41</v>
      </c>
      <c r="G43" s="4" t="s">
        <v>42</v>
      </c>
      <c r="H43" s="5" t="n">
        <f>8.0</f>
        <v>8.0</v>
      </c>
    </row>
    <row r="44">
      <c r="A44" s="3" t="s">
        <v>72</v>
      </c>
      <c r="B44" s="4" t="s">
        <v>78</v>
      </c>
      <c r="C44" s="4" t="s">
        <v>79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160.0</f>
        <v>160.0</v>
      </c>
    </row>
    <row r="45">
      <c r="A45" s="3" t="s">
        <v>72</v>
      </c>
      <c r="B45" s="4" t="s">
        <v>78</v>
      </c>
      <c r="C45" s="4" t="s">
        <v>79</v>
      </c>
      <c r="D45" s="3" t="n">
        <v>2.0</v>
      </c>
      <c r="E45" s="4" t="s">
        <v>34</v>
      </c>
      <c r="F45" s="4" t="s">
        <v>35</v>
      </c>
      <c r="G45" s="4" t="s">
        <v>36</v>
      </c>
      <c r="H45" s="5" t="n">
        <f>40.0</f>
        <v>40.0</v>
      </c>
    </row>
    <row r="46">
      <c r="A46" s="3" t="s">
        <v>72</v>
      </c>
      <c r="B46" s="4" t="s">
        <v>78</v>
      </c>
      <c r="C46" s="4" t="s">
        <v>79</v>
      </c>
      <c r="D46" s="3" t="n">
        <v>3.0</v>
      </c>
      <c r="E46" s="4" t="s">
        <v>58</v>
      </c>
      <c r="F46" s="4" t="s">
        <v>59</v>
      </c>
      <c r="G46" s="4" t="s">
        <v>60</v>
      </c>
      <c r="H46" s="5" t="n">
        <f>26.0</f>
        <v>26.0</v>
      </c>
    </row>
    <row r="47">
      <c r="A47" s="3" t="s">
        <v>72</v>
      </c>
      <c r="B47" s="4" t="s">
        <v>80</v>
      </c>
      <c r="C47" s="4" t="s">
        <v>81</v>
      </c>
      <c r="D47" s="3" t="n">
        <v>1.0</v>
      </c>
      <c r="E47" s="4" t="s">
        <v>16</v>
      </c>
      <c r="F47" s="4" t="s">
        <v>17</v>
      </c>
      <c r="G47" s="4" t="s">
        <v>18</v>
      </c>
      <c r="H47" s="5" t="n">
        <f>20.0</f>
        <v>20.0</v>
      </c>
    </row>
    <row r="48">
      <c r="A48" s="3" t="s">
        <v>72</v>
      </c>
      <c r="B48" s="4" t="s">
        <v>80</v>
      </c>
      <c r="C48" s="4" t="s">
        <v>81</v>
      </c>
      <c r="D48" s="3" t="n">
        <v>2.0</v>
      </c>
      <c r="E48" s="4" t="s">
        <v>58</v>
      </c>
      <c r="F48" s="4" t="s">
        <v>59</v>
      </c>
      <c r="G48" s="4" t="s">
        <v>60</v>
      </c>
      <c r="H48" s="5" t="n">
        <f>12.0</f>
        <v>12.0</v>
      </c>
    </row>
    <row r="49">
      <c r="A49" s="3" t="s">
        <v>72</v>
      </c>
      <c r="B49" s="4" t="s">
        <v>80</v>
      </c>
      <c r="C49" s="4" t="s">
        <v>81</v>
      </c>
      <c r="D49" s="3" t="n">
        <v>3.0</v>
      </c>
      <c r="E49" s="4" t="s">
        <v>34</v>
      </c>
      <c r="F49" s="4" t="s">
        <v>35</v>
      </c>
      <c r="G49" s="4" t="s">
        <v>36</v>
      </c>
      <c r="H49" s="5" t="n">
        <f>8.0</f>
        <v>8.0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25</v>
      </c>
      <c r="F50" s="4" t="s">
        <v>26</v>
      </c>
      <c r="G50" s="4" t="s">
        <v>27</v>
      </c>
      <c r="H50" s="5" t="n">
        <f>1655.0</f>
        <v>1655.0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19</v>
      </c>
      <c r="F51" s="4" t="s">
        <v>20</v>
      </c>
      <c r="G51" s="4" t="s">
        <v>21</v>
      </c>
      <c r="H51" s="5" t="n">
        <f>1374.0</f>
        <v>1374.0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13</v>
      </c>
      <c r="F52" s="4" t="s">
        <v>14</v>
      </c>
      <c r="G52" s="4" t="s">
        <v>15</v>
      </c>
      <c r="H52" s="5" t="n">
        <f>1337.0</f>
        <v>1337.0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49</v>
      </c>
      <c r="F53" s="4" t="s">
        <v>50</v>
      </c>
      <c r="G53" s="4" t="s">
        <v>51</v>
      </c>
      <c r="H53" s="5" t="n">
        <f>1316.0</f>
        <v>1316.0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28</v>
      </c>
      <c r="F54" s="4" t="s">
        <v>29</v>
      </c>
      <c r="G54" s="4" t="s">
        <v>30</v>
      </c>
      <c r="H54" s="5" t="n">
        <f>1000.0</f>
        <v>1000.0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31</v>
      </c>
      <c r="F55" s="4" t="s">
        <v>32</v>
      </c>
      <c r="G55" s="4" t="s">
        <v>33</v>
      </c>
      <c r="H55" s="5" t="n">
        <f>883.0</f>
        <v>883.0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67</v>
      </c>
      <c r="F56" s="4" t="s">
        <v>68</v>
      </c>
      <c r="G56" s="4" t="s">
        <v>69</v>
      </c>
      <c r="H56" s="5" t="n">
        <f>520.0</f>
        <v>520.0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484.0</f>
        <v>484.0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37</v>
      </c>
      <c r="F58" s="4" t="s">
        <v>38</v>
      </c>
      <c r="G58" s="4" t="s">
        <v>39</v>
      </c>
      <c r="H58" s="5" t="n">
        <f>340.0</f>
        <v>340.0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22</v>
      </c>
      <c r="F59" s="4" t="s">
        <v>23</v>
      </c>
      <c r="G59" s="4" t="s">
        <v>24</v>
      </c>
      <c r="H59" s="5" t="n">
        <f>316.0</f>
        <v>316.0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46</v>
      </c>
      <c r="F60" s="4" t="s">
        <v>47</v>
      </c>
      <c r="G60" s="4" t="s">
        <v>48</v>
      </c>
      <c r="H60" s="5" t="n">
        <f>232.0</f>
        <v>232.0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43</v>
      </c>
      <c r="F61" s="4" t="s">
        <v>44</v>
      </c>
      <c r="G61" s="4" t="s">
        <v>45</v>
      </c>
      <c r="H61" s="5" t="n">
        <f>210.0</f>
        <v>210.0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40</v>
      </c>
      <c r="F62" s="4" t="s">
        <v>41</v>
      </c>
      <c r="G62" s="4" t="s">
        <v>42</v>
      </c>
      <c r="H62" s="5" t="n">
        <f>156.0</f>
        <v>156.0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55</v>
      </c>
      <c r="F63" s="4" t="s">
        <v>56</v>
      </c>
      <c r="G63" s="4" t="s">
        <v>57</v>
      </c>
      <c r="H63" s="5" t="n">
        <f>62.0</f>
        <v>62.0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85</v>
      </c>
      <c r="F64" s="4" t="s">
        <v>86</v>
      </c>
      <c r="G64" s="4" t="s">
        <v>87</v>
      </c>
      <c r="H64" s="5" t="n">
        <f>27.0</f>
        <v>27.0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52</v>
      </c>
      <c r="F65" s="4" t="s">
        <v>53</v>
      </c>
      <c r="G65" s="4" t="s">
        <v>54</v>
      </c>
      <c r="H65" s="5" t="n">
        <f>8.0</f>
        <v>8.0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58</v>
      </c>
      <c r="F66" s="4" t="s">
        <v>59</v>
      </c>
      <c r="G66" s="4" t="s">
        <v>60</v>
      </c>
      <c r="H66" s="5" t="n">
        <f>2.0</f>
        <v>2.0</v>
      </c>
    </row>
    <row r="67">
      <c r="A67" s="3" t="s">
        <v>82</v>
      </c>
      <c r="B67" s="4" t="s">
        <v>88</v>
      </c>
      <c r="C67" s="4" t="s">
        <v>89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230.0</f>
        <v>230.0</v>
      </c>
    </row>
    <row r="68">
      <c r="A68" s="3" t="s">
        <v>82</v>
      </c>
      <c r="B68" s="4" t="s">
        <v>88</v>
      </c>
      <c r="C68" s="4" t="s">
        <v>89</v>
      </c>
      <c r="D68" s="3" t="n">
        <v>2.0</v>
      </c>
      <c r="E68" s="4" t="s">
        <v>37</v>
      </c>
      <c r="F68" s="4" t="s">
        <v>38</v>
      </c>
      <c r="G68" s="4" t="s">
        <v>39</v>
      </c>
      <c r="H68" s="5" t="n">
        <f>200.0</f>
        <v>200.0</v>
      </c>
    </row>
    <row r="69">
      <c r="A69" s="3" t="s">
        <v>82</v>
      </c>
      <c r="B69" s="4" t="s">
        <v>88</v>
      </c>
      <c r="C69" s="4" t="s">
        <v>89</v>
      </c>
      <c r="D69" s="3" t="n">
        <v>3.0</v>
      </c>
      <c r="E69" s="4" t="s">
        <v>25</v>
      </c>
      <c r="F69" s="4" t="s">
        <v>26</v>
      </c>
      <c r="G69" s="4" t="s">
        <v>27</v>
      </c>
      <c r="H69" s="5" t="n">
        <f>30.0</f>
        <v>30.0</v>
      </c>
    </row>
    <row r="70">
      <c r="A70" s="3" t="s">
        <v>90</v>
      </c>
      <c r="B70" s="4" t="s">
        <v>91</v>
      </c>
      <c r="C70" s="4" t="s">
        <v>92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8.0</f>
        <v>8.0</v>
      </c>
    </row>
    <row r="71">
      <c r="A71" s="3" t="s">
        <v>90</v>
      </c>
      <c r="B71" s="4" t="s">
        <v>91</v>
      </c>
      <c r="C71" s="4" t="s">
        <v>92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4.0</f>
        <v>4.0</v>
      </c>
    </row>
    <row r="72">
      <c r="A72" s="3" t="s">
        <v>90</v>
      </c>
      <c r="B72" s="4" t="s">
        <v>93</v>
      </c>
      <c r="C72" s="4" t="s">
        <v>94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230.0</f>
        <v>230.0</v>
      </c>
    </row>
    <row r="73">
      <c r="A73" s="3" t="s">
        <v>90</v>
      </c>
      <c r="B73" s="4" t="s">
        <v>95</v>
      </c>
      <c r="C73" s="4" t="s">
        <v>96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12.0</f>
        <v>12.0</v>
      </c>
    </row>
    <row r="74">
      <c r="A74" s="3" t="s">
        <v>90</v>
      </c>
      <c r="B74" s="4" t="s">
        <v>97</v>
      </c>
      <c r="C74" s="4" t="s">
        <v>98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10.0</f>
        <v>10.0</v>
      </c>
    </row>
    <row r="75">
      <c r="A75" s="3" t="s">
        <v>90</v>
      </c>
      <c r="B75" s="4" t="s">
        <v>99</v>
      </c>
      <c r="C75" s="4" t="s">
        <v>100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2.0</f>
        <v>2.0</v>
      </c>
    </row>
    <row r="76">
      <c r="A76" s="3" t="s">
        <v>90</v>
      </c>
      <c r="B76" s="4" t="s">
        <v>101</v>
      </c>
      <c r="C76" s="4" t="s">
        <v>102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120.0</f>
        <v>120.0</v>
      </c>
    </row>
    <row r="77">
      <c r="A77" s="3" t="s">
        <v>90</v>
      </c>
      <c r="B77" s="4" t="s">
        <v>101</v>
      </c>
      <c r="C77" s="4" t="s">
        <v>102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120.0</f>
        <v>120.0</v>
      </c>
    </row>
    <row r="78">
      <c r="A78" s="3" t="s">
        <v>90</v>
      </c>
      <c r="B78" s="4" t="s">
        <v>101</v>
      </c>
      <c r="C78" s="4" t="s">
        <v>102</v>
      </c>
      <c r="D78" s="3" t="n">
        <v>3.0</v>
      </c>
      <c r="E78" s="4" t="s">
        <v>16</v>
      </c>
      <c r="F78" s="4" t="s">
        <v>17</v>
      </c>
      <c r="G78" s="4" t="s">
        <v>18</v>
      </c>
      <c r="H78" s="5" t="n">
        <f>2.0</f>
        <v>2.0</v>
      </c>
    </row>
    <row r="79">
      <c r="A79" s="3" t="s">
        <v>90</v>
      </c>
      <c r="B79" s="4" t="s">
        <v>103</v>
      </c>
      <c r="C79" s="4" t="s">
        <v>104</v>
      </c>
      <c r="D79" s="3" t="n">
        <v>1.0</v>
      </c>
      <c r="E79" s="4" t="s">
        <v>55</v>
      </c>
      <c r="F79" s="4" t="s">
        <v>56</v>
      </c>
      <c r="G79" s="4" t="s">
        <v>57</v>
      </c>
      <c r="H79" s="5" t="n">
        <f>150.0</f>
        <v>150.0</v>
      </c>
    </row>
    <row r="80">
      <c r="A80" s="3" t="s">
        <v>90</v>
      </c>
      <c r="B80" s="4" t="s">
        <v>103</v>
      </c>
      <c r="C80" s="4" t="s">
        <v>104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150.0</f>
        <v>150.0</v>
      </c>
    </row>
    <row r="81">
      <c r="A81" s="3" t="s">
        <v>90</v>
      </c>
      <c r="B81" s="4" t="s">
        <v>103</v>
      </c>
      <c r="C81" s="4" t="s">
        <v>104</v>
      </c>
      <c r="D81" s="3" t="n">
        <v>3.0</v>
      </c>
      <c r="E81" s="4" t="s">
        <v>34</v>
      </c>
      <c r="F81" s="4" t="s">
        <v>35</v>
      </c>
      <c r="G81" s="4" t="s">
        <v>36</v>
      </c>
      <c r="H81" s="5" t="n">
        <f>10.0</f>
        <v>10.0</v>
      </c>
    </row>
    <row r="82">
      <c r="A82" s="3" t="s">
        <v>90</v>
      </c>
      <c r="B82" s="4" t="s">
        <v>103</v>
      </c>
      <c r="C82" s="4" t="s">
        <v>104</v>
      </c>
      <c r="D82" s="3" t="n">
        <v>4.0</v>
      </c>
      <c r="E82" s="4" t="s">
        <v>16</v>
      </c>
      <c r="F82" s="4" t="s">
        <v>17</v>
      </c>
      <c r="G82" s="4" t="s">
        <v>18</v>
      </c>
      <c r="H82" s="5" t="n">
        <f>6.0</f>
        <v>6.0</v>
      </c>
    </row>
    <row r="83">
      <c r="A83" s="3" t="s">
        <v>90</v>
      </c>
      <c r="B83" s="4" t="s">
        <v>105</v>
      </c>
      <c r="C83" s="4" t="s">
        <v>106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4.0</f>
        <v>4.0</v>
      </c>
    </row>
    <row r="84">
      <c r="A84" s="3" t="s">
        <v>90</v>
      </c>
      <c r="B84" s="4" t="s">
        <v>107</v>
      </c>
      <c r="C84" s="4" t="s">
        <v>108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