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<sst xmlns="http://schemas.openxmlformats.org/spreadsheetml/2006/main" count="604" uniqueCount="109">
  <si>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</si>
  <si>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</si>
  <si>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</si>
  <si>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</si>
  <si>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</si>
  <si>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</si>
  <si>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</si>
  <si>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</si>
  <si>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</si>
  <si>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20260416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</si>
  <si>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</si>
  <si>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</si>
  <si>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</si>
  <si>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</si>
  <si>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</si>
  <si>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</si>
  <si>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</si>
  <si>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</si>
  <si>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</si>
  <si>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</si>
  <si>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</si>
  <si>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</si>
  <si>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</si>
  <si>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</si>
  <si>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</si>
  <si>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</si>
  <si>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</si>
  <si>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</si>
  <si>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</si>
  <si>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</si>
  <si>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</si>
  <si>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</si>
  <si>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</si>
  <si>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</si>
  <si>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</si>
  <si>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</si>
  <si>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</si>
  <si>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</si>
  <si>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</si>
  <si>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</si>
  <si>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</si>
  <si>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</si>
  <si>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</si>
  <si>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</si>
  <si>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</si>
  <si>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</si>
  <si>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</si>
  <si>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</si>
  <si>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</si>
  <si>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</si>
  <si>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</si>
  <si>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</si>
  <si>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</si>
  <si>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</si>
  <si>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</si>
  <si>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</si>
  <si>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</si>
  <si>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</si>
  <si>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</si>
  <si>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</si>
  <si>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</si>
  <si>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</si>
  <si>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</si>
  <si>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</si>
  <si>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</si>
  <si>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</si>
  <si>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</si>
  <si>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</si>
  <si>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</si>
  <si>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</si>
  <si>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</si>
  <si>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</si>
  <si>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</si>
  <si>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</si>
  <si>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</si>
  <si>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</si>
  <si>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</si>
  <si>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</si>
  <si>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</si>
  <si>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</si>
  <si>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</si>
  <si>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</si>
  <si>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</si>
  <si>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</si>
  <si>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</si>
  <si>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12724</t>
  </si>
  <si>
    <t>ＨＳＢＣ証券</t>
  </si>
  <si>
    <t>HSBC Securities (Japan)</t>
  </si>
  <si>
    <t>161090005</t>
  </si>
  <si>
    <t>TOPIX FUT 2609</t>
  </si>
  <si>
    <t>NK225E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</si>
  <si>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</si>
  <si>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</si>
  <si>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</si>
  <si>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</si>
  <si>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</si>
  <si>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</si>
  <si>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131179518</t>
  </si>
  <si>
    <t>NIKKEI 225 OOP P2605-59500</t>
  </si>
  <si>
    <t>141170518</t>
  </si>
  <si>
    <t>NIKKEI 225 OOP C2605-60500</t>
  </si>
  <si>
    <t>141170218</t>
  </si>
  <si>
    <t>NIKKEI 225 OOP C2605-60250</t>
  </si>
  <si>
    <t>191170018</t>
  </si>
  <si>
    <t>NIKKEI 225 OOP C2605-60000</t>
  </si>
  <si>
    <t>141179518</t>
  </si>
  <si>
    <t>NIKKEI 225 OOP C2605-59500</t>
  </si>
  <si>
    <t>141179218</t>
  </si>
  <si>
    <t>NIKKEI 225 OOP C2605-59250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</si>
</sst>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2114.0</f>
        <v>2114.0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2045.0</f>
        <v>2045.0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1790.0</f>
        <v>1790.0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1611.0</f>
        <v>1611.0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1535.0</f>
        <v>1535.0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1475.0</f>
        <v>1475.0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1323.0</f>
        <v>1323.0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1212.0</f>
        <v>1212.0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1175.0</f>
        <v>1175.0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1137.0</f>
        <v>1137.0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1003.0</f>
        <v>1003.0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432.0</f>
        <v>432.0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359.0</f>
        <v>359.0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216.0</f>
        <v>216.0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175.0</f>
        <v>175.0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137.0</f>
        <v>137.0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130.0</f>
        <v>130.0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57.0</f>
        <v>57.0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25.0</f>
        <v>25.0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6.0</f>
        <v>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43</v>
      </c>
      <c r="F32" s="4" t="s">
        <v>44</v>
      </c>
      <c r="G32" s="4" t="s">
        <v>45</v>
      </c>
      <c r="H32" s="5" t="n">
        <f>3274.0</f>
        <v>3274.0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46</v>
      </c>
      <c r="F33" s="4" t="s">
        <v>47</v>
      </c>
      <c r="G33" s="4" t="s">
        <v>48</v>
      </c>
      <c r="H33" s="5" t="n">
        <f>1694.0</f>
        <v>1694.0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22</v>
      </c>
      <c r="F34" s="4" t="s">
        <v>23</v>
      </c>
      <c r="G34" s="4" t="s">
        <v>24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37</v>
      </c>
      <c r="F35" s="4" t="s">
        <v>38</v>
      </c>
      <c r="G35" s="4" t="s">
        <v>39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19</v>
      </c>
      <c r="F36" s="4" t="s">
        <v>20</v>
      </c>
      <c r="G36" s="4" t="s">
        <v>21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16</v>
      </c>
      <c r="F37" s="4" t="s">
        <v>17</v>
      </c>
      <c r="G37" s="4" t="s">
        <v>18</v>
      </c>
      <c r="H37" s="5" t="n">
        <f>500.0</f>
        <v>500.0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61</v>
      </c>
      <c r="F38" s="4" t="s">
        <v>62</v>
      </c>
      <c r="G38" s="4" t="s">
        <v>63</v>
      </c>
      <c r="H38" s="5" t="n">
        <f>220.0</f>
        <v>220.0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43</v>
      </c>
      <c r="F39" s="4" t="s">
        <v>44</v>
      </c>
      <c r="G39" s="4" t="s">
        <v>45</v>
      </c>
      <c r="H39" s="5" t="n">
        <f>49536.0</f>
        <v>49536.0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46</v>
      </c>
      <c r="F40" s="4" t="s">
        <v>47</v>
      </c>
      <c r="G40" s="4" t="s">
        <v>48</v>
      </c>
      <c r="H40" s="5" t="n">
        <f>25428.0</f>
        <v>25428.0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5810.0</f>
        <v>5810.0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13</v>
      </c>
      <c r="F42" s="4" t="s">
        <v>14</v>
      </c>
      <c r="G42" s="4" t="s">
        <v>15</v>
      </c>
      <c r="H42" s="5" t="n">
        <f>352.0</f>
        <v>352.0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40</v>
      </c>
      <c r="F43" s="4" t="s">
        <v>41</v>
      </c>
      <c r="G43" s="4" t="s">
        <v>42</v>
      </c>
      <c r="H43" s="5" t="n">
        <f>138.0</f>
        <v>138.0</v>
      </c>
    </row>
    <row r="44">
      <c r="A44" s="3" t="s">
        <v>75</v>
      </c>
      <c r="B44" s="4" t="s">
        <v>78</v>
      </c>
      <c r="C44" s="4" t="s">
        <v>79</v>
      </c>
      <c r="D44" s="3" t="n">
        <v>5.0</v>
      </c>
      <c r="E44" s="4" t="s">
        <v>16</v>
      </c>
      <c r="F44" s="4" t="s">
        <v>17</v>
      </c>
      <c r="G44" s="4" t="s">
        <v>18</v>
      </c>
      <c r="H44" s="5" t="n">
        <f>138.0</f>
        <v>138.0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22</v>
      </c>
      <c r="F45" s="4" t="s">
        <v>23</v>
      </c>
      <c r="G45" s="4" t="s">
        <v>24</v>
      </c>
      <c r="H45" s="5" t="n">
        <f>120.0</f>
        <v>120.0</v>
      </c>
    </row>
    <row r="46">
      <c r="A46" s="3" t="s">
        <v>75</v>
      </c>
      <c r="B46" s="4" t="s">
        <v>78</v>
      </c>
      <c r="C46" s="4" t="s">
        <v>79</v>
      </c>
      <c r="D46" s="3" t="n">
        <v>8.0</v>
      </c>
      <c r="E46" s="4" t="s">
        <v>58</v>
      </c>
      <c r="F46" s="4" t="s">
        <v>59</v>
      </c>
      <c r="G46" s="4" t="s">
        <v>60</v>
      </c>
      <c r="H46" s="5" t="n">
        <f>68.0</f>
        <v>68.0</v>
      </c>
    </row>
    <row r="47">
      <c r="A47" s="3" t="s">
        <v>75</v>
      </c>
      <c r="B47" s="4" t="s">
        <v>78</v>
      </c>
      <c r="C47" s="4" t="s">
        <v>79</v>
      </c>
      <c r="D47" s="3" t="n">
        <v>8.0</v>
      </c>
      <c r="E47" s="4" t="s">
        <v>55</v>
      </c>
      <c r="F47" s="4" t="s">
        <v>56</v>
      </c>
      <c r="G47" s="4" t="s">
        <v>57</v>
      </c>
      <c r="H47" s="5" t="n">
        <f>68.0</f>
        <v>68.0</v>
      </c>
    </row>
    <row r="48">
      <c r="A48" s="3" t="s">
        <v>75</v>
      </c>
      <c r="B48" s="4" t="s">
        <v>78</v>
      </c>
      <c r="C48" s="4" t="s">
        <v>79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50.0</f>
        <v>50.0</v>
      </c>
    </row>
    <row r="49">
      <c r="A49" s="3" t="s">
        <v>75</v>
      </c>
      <c r="B49" s="4" t="s">
        <v>78</v>
      </c>
      <c r="C49" s="4" t="s">
        <v>79</v>
      </c>
      <c r="D49" s="3" t="n">
        <v>11.0</v>
      </c>
      <c r="E49" s="4" t="s">
        <v>25</v>
      </c>
      <c r="F49" s="4" t="s">
        <v>26</v>
      </c>
      <c r="G49" s="4" t="s">
        <v>27</v>
      </c>
      <c r="H49" s="5" t="n">
        <f>18.0</f>
        <v>18.0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61</v>
      </c>
      <c r="F50" s="4" t="s">
        <v>62</v>
      </c>
      <c r="G50" s="4" t="s">
        <v>63</v>
      </c>
      <c r="H50" s="5" t="n">
        <f>4.0</f>
        <v>4.0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43</v>
      </c>
      <c r="F51" s="4" t="s">
        <v>44</v>
      </c>
      <c r="G51" s="4" t="s">
        <v>45</v>
      </c>
      <c r="H51" s="5" t="n">
        <f>2.0</f>
        <v>2.0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37</v>
      </c>
      <c r="F52" s="4" t="s">
        <v>38</v>
      </c>
      <c r="G52" s="4" t="s">
        <v>39</v>
      </c>
      <c r="H52" s="5" t="n">
        <f>4250.0</f>
        <v>4250.0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28</v>
      </c>
      <c r="F53" s="4" t="s">
        <v>29</v>
      </c>
      <c r="G53" s="4" t="s">
        <v>30</v>
      </c>
      <c r="H53" s="5" t="n">
        <f>4012.0</f>
        <v>4012.0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34</v>
      </c>
      <c r="F54" s="4" t="s">
        <v>35</v>
      </c>
      <c r="G54" s="4" t="s">
        <v>36</v>
      </c>
      <c r="H54" s="5" t="n">
        <f>1580.0</f>
        <v>1580.0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19</v>
      </c>
      <c r="F55" s="4" t="s">
        <v>20</v>
      </c>
      <c r="G55" s="4" t="s">
        <v>21</v>
      </c>
      <c r="H55" s="5" t="n">
        <f>1500.0</f>
        <v>1500.0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1137.0</f>
        <v>1137.0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1127.0</f>
        <v>1127.0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55</v>
      </c>
      <c r="F58" s="4" t="s">
        <v>56</v>
      </c>
      <c r="G58" s="4" t="s">
        <v>57</v>
      </c>
      <c r="H58" s="5" t="n">
        <f>888.0</f>
        <v>888.0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58</v>
      </c>
      <c r="F59" s="4" t="s">
        <v>59</v>
      </c>
      <c r="G59" s="4" t="s">
        <v>60</v>
      </c>
      <c r="H59" s="5" t="n">
        <f>810.0</f>
        <v>810.0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67</v>
      </c>
      <c r="F60" s="4" t="s">
        <v>68</v>
      </c>
      <c r="G60" s="4" t="s">
        <v>69</v>
      </c>
      <c r="H60" s="5" t="n">
        <f>691.0</f>
        <v>691.0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13</v>
      </c>
      <c r="F61" s="4" t="s">
        <v>14</v>
      </c>
      <c r="G61" s="4" t="s">
        <v>15</v>
      </c>
      <c r="H61" s="5" t="n">
        <f>679.0</f>
        <v>679.0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31</v>
      </c>
      <c r="F62" s="4" t="s">
        <v>32</v>
      </c>
      <c r="G62" s="4" t="s">
        <v>33</v>
      </c>
      <c r="H62" s="5" t="n">
        <f>577.0</f>
        <v>577.0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22</v>
      </c>
      <c r="F63" s="4" t="s">
        <v>23</v>
      </c>
      <c r="G63" s="4" t="s">
        <v>24</v>
      </c>
      <c r="H63" s="5" t="n">
        <f>324.0</f>
        <v>324.0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49</v>
      </c>
      <c r="F64" s="4" t="s">
        <v>50</v>
      </c>
      <c r="G64" s="4" t="s">
        <v>51</v>
      </c>
      <c r="H64" s="5" t="n">
        <f>282.0</f>
        <v>282.0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52</v>
      </c>
      <c r="F65" s="4" t="s">
        <v>53</v>
      </c>
      <c r="G65" s="4" t="s">
        <v>54</v>
      </c>
      <c r="H65" s="5" t="n">
        <f>237.0</f>
        <v>237.0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85</v>
      </c>
      <c r="F66" s="4" t="s">
        <v>86</v>
      </c>
      <c r="G66" s="4" t="s">
        <v>87</v>
      </c>
      <c r="H66" s="5" t="n">
        <f>200.0</f>
        <v>200.0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43</v>
      </c>
      <c r="F67" s="4" t="s">
        <v>44</v>
      </c>
      <c r="G67" s="4" t="s">
        <v>45</v>
      </c>
      <c r="H67" s="5" t="n">
        <f>178.0</f>
        <v>178.0</v>
      </c>
    </row>
    <row r="68">
      <c r="A68" s="3" t="s">
        <v>82</v>
      </c>
      <c r="B68" s="4" t="s">
        <v>83</v>
      </c>
      <c r="C68" s="4" t="s">
        <v>84</v>
      </c>
      <c r="D68" s="3" t="n">
        <v>17.0</v>
      </c>
      <c r="E68" s="4" t="s">
        <v>40</v>
      </c>
      <c r="F68" s="4" t="s">
        <v>41</v>
      </c>
      <c r="G68" s="4" t="s">
        <v>42</v>
      </c>
      <c r="H68" s="5" t="n">
        <f>174.0</f>
        <v>174.0</v>
      </c>
    </row>
    <row r="69">
      <c r="A69" s="3" t="s">
        <v>82</v>
      </c>
      <c r="B69" s="4" t="s">
        <v>83</v>
      </c>
      <c r="C69" s="4" t="s">
        <v>84</v>
      </c>
      <c r="D69" s="3" t="n">
        <v>18.0</v>
      </c>
      <c r="E69" s="4" t="s">
        <v>61</v>
      </c>
      <c r="F69" s="4" t="s">
        <v>62</v>
      </c>
      <c r="G69" s="4" t="s">
        <v>63</v>
      </c>
      <c r="H69" s="5" t="n">
        <f>24.0</f>
        <v>24.0</v>
      </c>
    </row>
    <row r="70">
      <c r="A70" s="3" t="s">
        <v>82</v>
      </c>
      <c r="B70" s="4" t="s">
        <v>88</v>
      </c>
      <c r="C70" s="4" t="s">
        <v>89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600.0</f>
        <v>600.0</v>
      </c>
    </row>
    <row r="71">
      <c r="A71" s="3" t="s">
        <v>82</v>
      </c>
      <c r="B71" s="4" t="s">
        <v>88</v>
      </c>
      <c r="C71" s="4" t="s">
        <v>89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400.0</f>
        <v>400.0</v>
      </c>
    </row>
    <row r="72">
      <c r="A72" s="3" t="s">
        <v>82</v>
      </c>
      <c r="B72" s="4" t="s">
        <v>88</v>
      </c>
      <c r="C72" s="4" t="s">
        <v>89</v>
      </c>
      <c r="D72" s="3" t="n">
        <v>3.0</v>
      </c>
      <c r="E72" s="4" t="s">
        <v>22</v>
      </c>
      <c r="F72" s="4" t="s">
        <v>23</v>
      </c>
      <c r="G72" s="4" t="s">
        <v>24</v>
      </c>
      <c r="H72" s="5" t="n">
        <f>300.0</f>
        <v>300.0</v>
      </c>
    </row>
    <row r="73">
      <c r="A73" s="3" t="s">
        <v>82</v>
      </c>
      <c r="B73" s="4" t="s">
        <v>88</v>
      </c>
      <c r="C73" s="4" t="s">
        <v>89</v>
      </c>
      <c r="D73" s="3" t="n">
        <v>4.0</v>
      </c>
      <c r="E73" s="4" t="s">
        <v>40</v>
      </c>
      <c r="F73" s="4" t="s">
        <v>41</v>
      </c>
      <c r="G73" s="4" t="s">
        <v>42</v>
      </c>
      <c r="H73" s="5" t="n">
        <f>100.0</f>
        <v>100.0</v>
      </c>
    </row>
    <row r="74">
      <c r="A74" s="3" t="s">
        <v>90</v>
      </c>
      <c r="B74" s="4" t="s">
        <v>91</v>
      </c>
      <c r="C74" s="4" t="s">
        <v>92</v>
      </c>
      <c r="D74" s="3" t="n">
        <v>1.0</v>
      </c>
      <c r="E74" s="4" t="s">
        <v>40</v>
      </c>
      <c r="F74" s="4" t="s">
        <v>41</v>
      </c>
      <c r="G74" s="4" t="s">
        <v>42</v>
      </c>
      <c r="H74" s="5" t="n">
        <f>100.0</f>
        <v>100.0</v>
      </c>
    </row>
    <row r="75">
      <c r="A75" s="3" t="s">
        <v>90</v>
      </c>
      <c r="B75" s="4" t="s">
        <v>91</v>
      </c>
      <c r="C75" s="4" t="s">
        <v>92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90</v>
      </c>
      <c r="B76" s="4" t="s">
        <v>91</v>
      </c>
      <c r="C76" s="4" t="s">
        <v>92</v>
      </c>
      <c r="D76" s="3" t="n">
        <v>3.0</v>
      </c>
      <c r="E76" s="4" t="s">
        <v>46</v>
      </c>
      <c r="F76" s="4" t="s">
        <v>47</v>
      </c>
      <c r="G76" s="4" t="s">
        <v>48</v>
      </c>
      <c r="H76" s="5" t="n">
        <f>2.0</f>
        <v>2.0</v>
      </c>
    </row>
    <row r="77">
      <c r="A77" s="3" t="s">
        <v>90</v>
      </c>
      <c r="B77" s="4" t="s">
        <v>93</v>
      </c>
      <c r="C77" s="4" t="s">
        <v>94</v>
      </c>
      <c r="D77" s="3" t="n">
        <v>1.0</v>
      </c>
      <c r="E77" s="4" t="s">
        <v>34</v>
      </c>
      <c r="F77" s="4" t="s">
        <v>35</v>
      </c>
      <c r="G77" s="4" t="s">
        <v>36</v>
      </c>
      <c r="H77" s="5" t="n">
        <f>300.0</f>
        <v>300.0</v>
      </c>
    </row>
    <row r="78">
      <c r="A78" s="3" t="s">
        <v>90</v>
      </c>
      <c r="B78" s="4" t="s">
        <v>93</v>
      </c>
      <c r="C78" s="4" t="s">
        <v>94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300.0</f>
        <v>300.0</v>
      </c>
    </row>
    <row r="79">
      <c r="A79" s="3" t="s">
        <v>90</v>
      </c>
      <c r="B79" s="4" t="s">
        <v>95</v>
      </c>
      <c r="C79" s="4" t="s">
        <v>96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275.0</f>
        <v>275.0</v>
      </c>
    </row>
    <row r="80">
      <c r="A80" s="3" t="s">
        <v>90</v>
      </c>
      <c r="B80" s="4" t="s">
        <v>95</v>
      </c>
      <c r="C80" s="4" t="s">
        <v>96</v>
      </c>
      <c r="D80" s="3" t="n">
        <v>2.0</v>
      </c>
      <c r="E80" s="4" t="s">
        <v>40</v>
      </c>
      <c r="F80" s="4" t="s">
        <v>41</v>
      </c>
      <c r="G80" s="4" t="s">
        <v>42</v>
      </c>
      <c r="H80" s="5" t="n">
        <f>150.0</f>
        <v>150.0</v>
      </c>
    </row>
    <row r="81">
      <c r="A81" s="3" t="s">
        <v>90</v>
      </c>
      <c r="B81" s="4" t="s">
        <v>95</v>
      </c>
      <c r="C81" s="4" t="s">
        <v>96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125.0</f>
        <v>125.0</v>
      </c>
    </row>
    <row r="82">
      <c r="A82" s="3" t="s">
        <v>90</v>
      </c>
      <c r="B82" s="4" t="s">
        <v>95</v>
      </c>
      <c r="C82" s="4" t="s">
        <v>96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25.0</f>
        <v>25.0</v>
      </c>
    </row>
    <row r="83">
      <c r="A83" s="3" t="s">
        <v>90</v>
      </c>
      <c r="B83" s="4" t="s">
        <v>95</v>
      </c>
      <c r="C83" s="4" t="s">
        <v>96</v>
      </c>
      <c r="D83" s="3" t="n">
        <v>4.0</v>
      </c>
      <c r="E83" s="4" t="s">
        <v>19</v>
      </c>
      <c r="F83" s="4" t="s">
        <v>20</v>
      </c>
      <c r="G83" s="4" t="s">
        <v>21</v>
      </c>
      <c r="H83" s="5" t="n">
        <f>25.0</f>
        <v>25.0</v>
      </c>
    </row>
    <row r="84">
      <c r="A84" s="3" t="s">
        <v>90</v>
      </c>
      <c r="B84" s="4" t="s">
        <v>95</v>
      </c>
      <c r="C84" s="4" t="s">
        <v>96</v>
      </c>
      <c r="D84" s="3" t="n">
        <v>6.0</v>
      </c>
      <c r="E84" s="4" t="s">
        <v>46</v>
      </c>
      <c r="F84" s="4" t="s">
        <v>47</v>
      </c>
      <c r="G84" s="4" t="s">
        <v>48</v>
      </c>
      <c r="H84" s="5" t="n">
        <f>4.0</f>
        <v>4.0</v>
      </c>
    </row>
    <row r="85">
      <c r="A85" s="3" t="s">
        <v>90</v>
      </c>
      <c r="B85" s="4" t="s">
        <v>95</v>
      </c>
      <c r="C85" s="4" t="s">
        <v>96</v>
      </c>
      <c r="D85" s="3" t="n">
        <v>7.0</v>
      </c>
      <c r="E85" s="4" t="s">
        <v>43</v>
      </c>
      <c r="F85" s="4" t="s">
        <v>44</v>
      </c>
      <c r="G85" s="4" t="s">
        <v>45</v>
      </c>
      <c r="H85" s="5" t="n">
        <f>2.0</f>
        <v>2.0</v>
      </c>
    </row>
    <row r="86">
      <c r="A86" s="3" t="s">
        <v>90</v>
      </c>
      <c r="B86" s="4" t="s">
        <v>97</v>
      </c>
      <c r="C86" s="4" t="s">
        <v>98</v>
      </c>
      <c r="D86" s="3" t="n">
        <v>1.0</v>
      </c>
      <c r="E86" s="4" t="s">
        <v>46</v>
      </c>
      <c r="F86" s="4" t="s">
        <v>47</v>
      </c>
      <c r="G86" s="4" t="s">
        <v>48</v>
      </c>
      <c r="H86" s="5" t="n">
        <f>4.0</f>
        <v>4.0</v>
      </c>
    </row>
    <row r="87">
      <c r="A87" s="3" t="s">
        <v>90</v>
      </c>
      <c r="B87" s="4" t="s">
        <v>97</v>
      </c>
      <c r="C87" s="4" t="s">
        <v>98</v>
      </c>
      <c r="D87" s="3" t="n">
        <v>2.0</v>
      </c>
      <c r="E87" s="4" t="s">
        <v>43</v>
      </c>
      <c r="F87" s="4" t="s">
        <v>44</v>
      </c>
      <c r="G87" s="4" t="s">
        <v>45</v>
      </c>
      <c r="H87" s="5" t="n">
        <f>2.0</f>
        <v>2.0</v>
      </c>
    </row>
    <row r="88">
      <c r="A88" s="3" t="s">
        <v>90</v>
      </c>
      <c r="B88" s="4" t="s">
        <v>99</v>
      </c>
      <c r="C88" s="4" t="s">
        <v>100</v>
      </c>
      <c r="D88" s="3" t="n">
        <v>1.0</v>
      </c>
      <c r="E88" s="4" t="s">
        <v>67</v>
      </c>
      <c r="F88" s="4" t="s">
        <v>68</v>
      </c>
      <c r="G88" s="4" t="s">
        <v>69</v>
      </c>
      <c r="H88" s="5" t="n">
        <f>100.0</f>
        <v>100.0</v>
      </c>
    </row>
    <row r="89">
      <c r="A89" s="3" t="s">
        <v>90</v>
      </c>
      <c r="B89" s="4" t="s">
        <v>99</v>
      </c>
      <c r="C89" s="4" t="s">
        <v>100</v>
      </c>
      <c r="D89" s="3" t="n">
        <v>1.0</v>
      </c>
      <c r="E89" s="4" t="s">
        <v>40</v>
      </c>
      <c r="F89" s="4" t="s">
        <v>41</v>
      </c>
      <c r="G89" s="4" t="s">
        <v>42</v>
      </c>
      <c r="H89" s="5" t="n">
        <f>100.0</f>
        <v>100.0</v>
      </c>
    </row>
    <row r="90">
      <c r="A90" s="3" t="s">
        <v>90</v>
      </c>
      <c r="B90" s="4" t="s">
        <v>99</v>
      </c>
      <c r="C90" s="4" t="s">
        <v>100</v>
      </c>
      <c r="D90" s="3" t="n">
        <v>3.0</v>
      </c>
      <c r="E90" s="4" t="s">
        <v>46</v>
      </c>
      <c r="F90" s="4" t="s">
        <v>47</v>
      </c>
      <c r="G90" s="4" t="s">
        <v>48</v>
      </c>
      <c r="H90" s="5" t="n">
        <f>4.0</f>
        <v>4.0</v>
      </c>
    </row>
    <row r="91">
      <c r="A91" s="3" t="s">
        <v>90</v>
      </c>
      <c r="B91" s="4" t="s">
        <v>101</v>
      </c>
      <c r="C91" s="4" t="s">
        <v>102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120.0</f>
        <v>120.0</v>
      </c>
    </row>
    <row r="92">
      <c r="A92" s="3" t="s">
        <v>90</v>
      </c>
      <c r="B92" s="4" t="s">
        <v>103</v>
      </c>
      <c r="C92" s="4" t="s">
        <v>104</v>
      </c>
      <c r="D92" s="3" t="n">
        <v>1.0</v>
      </c>
      <c r="E92" s="4" t="s">
        <v>34</v>
      </c>
      <c r="F92" s="4" t="s">
        <v>35</v>
      </c>
      <c r="G92" s="4" t="s">
        <v>36</v>
      </c>
      <c r="H92" s="5" t="n">
        <f>950.0</f>
        <v>950.0</v>
      </c>
    </row>
    <row r="93">
      <c r="A93" s="3" t="s">
        <v>90</v>
      </c>
      <c r="B93" s="4" t="s">
        <v>103</v>
      </c>
      <c r="C93" s="4" t="s">
        <v>104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500.0</f>
        <v>500.0</v>
      </c>
    </row>
    <row r="94">
      <c r="A94" s="3" t="s">
        <v>90</v>
      </c>
      <c r="B94" s="4" t="s">
        <v>103</v>
      </c>
      <c r="C94" s="4" t="s">
        <v>104</v>
      </c>
      <c r="D94" s="3" t="n">
        <v>3.0</v>
      </c>
      <c r="E94" s="4" t="s">
        <v>37</v>
      </c>
      <c r="F94" s="4" t="s">
        <v>38</v>
      </c>
      <c r="G94" s="4" t="s">
        <v>39</v>
      </c>
      <c r="H94" s="5" t="n">
        <f>300.0</f>
        <v>300.0</v>
      </c>
    </row>
    <row r="95">
      <c r="A95" s="3" t="s">
        <v>90</v>
      </c>
      <c r="B95" s="4" t="s">
        <v>103</v>
      </c>
      <c r="C95" s="4" t="s">
        <v>104</v>
      </c>
      <c r="D95" s="3" t="n">
        <v>3.0</v>
      </c>
      <c r="E95" s="4" t="s">
        <v>25</v>
      </c>
      <c r="F95" s="4" t="s">
        <v>26</v>
      </c>
      <c r="G95" s="4" t="s">
        <v>27</v>
      </c>
      <c r="H95" s="5" t="n">
        <f>300.0</f>
        <v>300.0</v>
      </c>
    </row>
    <row r="96">
      <c r="A96" s="3" t="s">
        <v>90</v>
      </c>
      <c r="B96" s="4" t="s">
        <v>103</v>
      </c>
      <c r="C96" s="4" t="s">
        <v>104</v>
      </c>
      <c r="D96" s="3" t="n">
        <v>5.0</v>
      </c>
      <c r="E96" s="4" t="s">
        <v>49</v>
      </c>
      <c r="F96" s="4" t="s">
        <v>50</v>
      </c>
      <c r="G96" s="4" t="s">
        <v>51</v>
      </c>
      <c r="H96" s="5" t="n">
        <f>200.0</f>
        <v>200.0</v>
      </c>
    </row>
    <row r="97">
      <c r="A97" s="3" t="s">
        <v>90</v>
      </c>
      <c r="B97" s="4" t="s">
        <v>103</v>
      </c>
      <c r="C97" s="4" t="s">
        <v>104</v>
      </c>
      <c r="D97" s="3" t="n">
        <v>5.0</v>
      </c>
      <c r="E97" s="4" t="s">
        <v>40</v>
      </c>
      <c r="F97" s="4" t="s">
        <v>41</v>
      </c>
      <c r="G97" s="4" t="s">
        <v>42</v>
      </c>
      <c r="H97" s="5" t="n">
        <f>200.0</f>
        <v>200.0</v>
      </c>
    </row>
    <row r="98">
      <c r="A98" s="3" t="s">
        <v>90</v>
      </c>
      <c r="B98" s="4" t="s">
        <v>103</v>
      </c>
      <c r="C98" s="4" t="s">
        <v>104</v>
      </c>
      <c r="D98" s="3" t="n">
        <v>7.0</v>
      </c>
      <c r="E98" s="4" t="s">
        <v>31</v>
      </c>
      <c r="F98" s="4" t="s">
        <v>32</v>
      </c>
      <c r="G98" s="4" t="s">
        <v>33</v>
      </c>
      <c r="H98" s="5" t="n">
        <f>150.0</f>
        <v>150.0</v>
      </c>
    </row>
    <row r="99">
      <c r="A99" s="3" t="s">
        <v>90</v>
      </c>
      <c r="B99" s="4" t="s">
        <v>103</v>
      </c>
      <c r="C99" s="4" t="s">
        <v>104</v>
      </c>
      <c r="D99" s="3" t="n">
        <v>8.0</v>
      </c>
      <c r="E99" s="4" t="s">
        <v>58</v>
      </c>
      <c r="F99" s="4" t="s">
        <v>59</v>
      </c>
      <c r="G99" s="4" t="s">
        <v>60</v>
      </c>
      <c r="H99" s="5" t="n">
        <f>100.0</f>
        <v>100.0</v>
      </c>
    </row>
    <row r="100">
      <c r="A100" s="3" t="s">
        <v>90</v>
      </c>
      <c r="B100" s="4" t="s">
        <v>103</v>
      </c>
      <c r="C100" s="4" t="s">
        <v>104</v>
      </c>
      <c r="D100" s="3" t="n">
        <v>8.0</v>
      </c>
      <c r="E100" s="4" t="s">
        <v>22</v>
      </c>
      <c r="F100" s="4" t="s">
        <v>23</v>
      </c>
      <c r="G100" s="4" t="s">
        <v>24</v>
      </c>
      <c r="H100" s="5" t="n">
        <f>100.0</f>
        <v>100.0</v>
      </c>
    </row>
    <row r="101">
      <c r="A101" s="3" t="s">
        <v>90</v>
      </c>
      <c r="B101" s="4" t="s">
        <v>103</v>
      </c>
      <c r="C101" s="4" t="s">
        <v>104</v>
      </c>
      <c r="D101" s="3" t="n">
        <v>8.0</v>
      </c>
      <c r="E101" s="4" t="s">
        <v>19</v>
      </c>
      <c r="F101" s="4" t="s">
        <v>20</v>
      </c>
      <c r="G101" s="4" t="s">
        <v>21</v>
      </c>
      <c r="H101" s="5" t="n">
        <f>100.0</f>
        <v>100.0</v>
      </c>
    </row>
    <row r="102">
      <c r="A102" s="3" t="s">
        <v>90</v>
      </c>
      <c r="B102" s="4" t="s">
        <v>103</v>
      </c>
      <c r="C102" s="4" t="s">
        <v>104</v>
      </c>
      <c r="D102" s="3" t="n">
        <v>11.0</v>
      </c>
      <c r="E102" s="4" t="s">
        <v>43</v>
      </c>
      <c r="F102" s="4" t="s">
        <v>44</v>
      </c>
      <c r="G102" s="4" t="s">
        <v>45</v>
      </c>
      <c r="H102" s="5" t="n">
        <f>34.0</f>
        <v>34.0</v>
      </c>
    </row>
    <row r="103">
      <c r="A103" s="3" t="s">
        <v>90</v>
      </c>
      <c r="B103" s="4" t="s">
        <v>103</v>
      </c>
      <c r="C103" s="4" t="s">
        <v>104</v>
      </c>
      <c r="D103" s="3" t="n">
        <v>12.0</v>
      </c>
      <c r="E103" s="4" t="s">
        <v>46</v>
      </c>
      <c r="F103" s="4" t="s">
        <v>47</v>
      </c>
      <c r="G103" s="4" t="s">
        <v>48</v>
      </c>
      <c r="H103" s="5" t="n">
        <f>14.0</f>
        <v>14.0</v>
      </c>
    </row>
    <row r="104">
      <c r="A104" s="3" t="s">
        <v>90</v>
      </c>
      <c r="B104" s="4" t="s">
        <v>105</v>
      </c>
      <c r="C104" s="4" t="s">
        <v>106</v>
      </c>
      <c r="D104" s="3" t="n">
        <v>1.0</v>
      </c>
      <c r="E104" s="4" t="s">
        <v>37</v>
      </c>
      <c r="F104" s="4" t="s">
        <v>38</v>
      </c>
      <c r="G104" s="4" t="s">
        <v>39</v>
      </c>
      <c r="H104" s="5" t="n">
        <f>100.0</f>
        <v>100.0</v>
      </c>
    </row>
    <row r="105">
      <c r="A105" s="3" t="s">
        <v>90</v>
      </c>
      <c r="B105" s="4" t="s">
        <v>105</v>
      </c>
      <c r="C105" s="4" t="s">
        <v>106</v>
      </c>
      <c r="D105" s="3" t="n">
        <v>1.0</v>
      </c>
      <c r="E105" s="4" t="s">
        <v>40</v>
      </c>
      <c r="F105" s="4" t="s">
        <v>41</v>
      </c>
      <c r="G105" s="4" t="s">
        <v>42</v>
      </c>
      <c r="H105" s="5" t="n">
        <f>100.0</f>
        <v>100.0</v>
      </c>
    </row>
    <row r="106">
      <c r="A106" s="3" t="s">
        <v>90</v>
      </c>
      <c r="B106" s="4" t="s">
        <v>105</v>
      </c>
      <c r="C106" s="4" t="s">
        <v>106</v>
      </c>
      <c r="D106" s="3" t="n">
        <v>3.0</v>
      </c>
      <c r="E106" s="4" t="s">
        <v>43</v>
      </c>
      <c r="F106" s="4" t="s">
        <v>44</v>
      </c>
      <c r="G106" s="4" t="s">
        <v>45</v>
      </c>
      <c r="H106" s="5" t="n">
        <f>6.0</f>
        <v>6.0</v>
      </c>
    </row>
    <row r="107">
      <c r="A107" s="3" t="s">
        <v>90</v>
      </c>
      <c r="B107" s="4" t="s">
        <v>107</v>
      </c>
      <c r="C107" s="4" t="s">
        <v>108</v>
      </c>
      <c r="D107" s="3" t="n">
        <v>1.0</v>
      </c>
      <c r="E107" s="4" t="s">
        <v>22</v>
      </c>
      <c r="F107" s="4" t="s">
        <v>23</v>
      </c>
      <c r="G107" s="4" t="s">
        <v>24</v>
      </c>
      <c r="H107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