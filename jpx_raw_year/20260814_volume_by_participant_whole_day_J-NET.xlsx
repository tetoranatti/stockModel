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<sst xmlns="http://schemas.openxmlformats.org/spreadsheetml/2006/main" count="418" uniqueCount="105">
  <si>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</si>
  <si>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</si>
  <si>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</si>
  <si>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</si>
  <si>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</si>
  <si>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</si>
  <si>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</si>
  <si>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</si>
  <si>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</si>
  <si>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</si>
  <si>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</si>
  <si>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</si>
  <si>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</si>
  <si>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</si>
  <si>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</si>
  <si>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</si>
  <si>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</si>
  <si>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</si>
  <si>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</si>
  <si>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</si>
  <si>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</si>
  <si>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</si>
  <si>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</si>
  <si>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</si>
  <si>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</si>
  <si>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</si>
  <si>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</si>
  <si>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</si>
  <si>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</si>
  <si>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</si>
  <si>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</si>
  <si>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</si>
  <si>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</si>
  <si>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</si>
  <si>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</si>
  <si>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</si>
  <si>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</si>
  <si>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</si>
  <si>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</si>
  <si>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</si>
  <si>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</si>
  <si>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</si>
  <si>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</si>
  <si>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</si>
  <si>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</si>
  <si>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</si>
  <si>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</si>
  <si>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</si>
  <si>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</si>
  <si>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</si>
  <si>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</si>
  <si>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</si>
  <si>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</si>
  <si>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</si>
  <si>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</si>
  <si>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</si>
  <si>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</si>
  <si>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</si>
  <si>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13004</t>
  </si>
  <si>
    <t>サスケハナ・ホンコン</t>
  </si>
  <si>
    <t>Susquehanna Hong Kong</t>
  </si>
  <si>
    <t>12072</t>
  </si>
  <si>
    <t>東海東京証券</t>
  </si>
  <si>
    <t>Tokai Tokyo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</si>
  <si>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</si>
  <si>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</si>
  <si>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</si>
  <si>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</si>
  <si>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</si>
  <si>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</si>
  <si>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</si>
  <si>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</si>
  <si>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</si>
  <si>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</si>
  <si>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</si>
  <si>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</si>
  <si>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</si>
  <si>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</si>
  <si>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</si>
  <si>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</si>
  <si>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</si>
  <si>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</si>
  <si>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</si>
  <si>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</si>
  <si>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</si>
  <si>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12724</t>
  </si>
  <si>
    <t>ＨＳＢＣ証券</t>
  </si>
  <si>
    <t>HSBC Securities (Japan)</t>
  </si>
  <si>
    <t>161120005</t>
  </si>
  <si>
    <t>TOPIX FUT 2612</t>
  </si>
  <si>
    <t>NK225E</t>
  </si>
  <si>
    <t>131338718</t>
  </si>
  <si>
    <t>NIKKEI 225 OOP P2609-68750</t>
  </si>
  <si>
    <t>131339018</t>
  </si>
  <si>
    <t>NIKKEI 225 OOP P2609-69000</t>
  </si>
  <si>
    <t>141339718</t>
  </si>
  <si>
    <t>NIKKEI 225 OOP C2609-69750</t>
  </si>
  <si>
    <t>141339518</t>
  </si>
  <si>
    <t>NIKKEI 225 OOP C2609-69500</t>
  </si>
  <si>
    <t>141339218</t>
  </si>
  <si>
    <t>NIKKEI 225 OOP C2609-69250</t>
  </si>
  <si>
    <t>141099118</t>
  </si>
  <si>
    <t>NIKKEI 225 OOP C2609-69125</t>
  </si>
  <si>
    <t>141339018</t>
  </si>
  <si>
    <t>NIKKEI 225 OOP C2609-69000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</si>
</sst>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1666.0</f>
        <v>1666.0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1628.0</f>
        <v>1628.0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1578.0</f>
        <v>1578.0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1381.0</f>
        <v>1381.0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697.0</f>
        <v>697.0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615.0</f>
        <v>615.0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547.0</f>
        <v>547.0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508.0</f>
        <v>508.0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460.0</f>
        <v>460.0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424.0</f>
        <v>424.0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397.0</f>
        <v>397.0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372.0</f>
        <v>372.0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354.0</f>
        <v>354.0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289.0</f>
        <v>289.0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114.0</f>
        <v>114.0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96.0</f>
        <v>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65.0</f>
        <v>65.0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52.0</f>
        <v>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28.0</f>
        <v>28.0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600.0</f>
        <v>600.0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49</v>
      </c>
      <c r="F34" s="4" t="s">
        <v>50</v>
      </c>
      <c r="G34" s="4" t="s">
        <v>51</v>
      </c>
      <c r="H34" s="5" t="n">
        <f>2.0</f>
        <v>2.0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25</v>
      </c>
      <c r="F35" s="4" t="s">
        <v>26</v>
      </c>
      <c r="G35" s="4" t="s">
        <v>27</v>
      </c>
      <c r="H35" s="5" t="n">
        <f>38475.0</f>
        <v>38475.0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49</v>
      </c>
      <c r="F36" s="4" t="s">
        <v>50</v>
      </c>
      <c r="G36" s="4" t="s">
        <v>51</v>
      </c>
      <c r="H36" s="5" t="n">
        <f>18662.0</f>
        <v>18662.0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70</v>
      </c>
      <c r="F37" s="4" t="s">
        <v>71</v>
      </c>
      <c r="G37" s="4" t="s">
        <v>72</v>
      </c>
      <c r="H37" s="5" t="n">
        <f>4910.0</f>
        <v>4910.0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19</v>
      </c>
      <c r="F38" s="4" t="s">
        <v>20</v>
      </c>
      <c r="G38" s="4" t="s">
        <v>21</v>
      </c>
      <c r="H38" s="5" t="n">
        <f>56.0</f>
        <v>56.0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55</v>
      </c>
      <c r="F39" s="4" t="s">
        <v>56</v>
      </c>
      <c r="G39" s="4" t="s">
        <v>57</v>
      </c>
      <c r="H39" s="5" t="n">
        <f>29.0</f>
        <v>29.0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22</v>
      </c>
      <c r="F40" s="4" t="s">
        <v>23</v>
      </c>
      <c r="G40" s="4" t="s">
        <v>24</v>
      </c>
      <c r="H40" s="5" t="n">
        <f>20.0</f>
        <v>20.0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52</v>
      </c>
      <c r="F41" s="4" t="s">
        <v>53</v>
      </c>
      <c r="G41" s="4" t="s">
        <v>54</v>
      </c>
      <c r="H41" s="5" t="n">
        <f>2.0</f>
        <v>2.0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13</v>
      </c>
      <c r="F42" s="4" t="s">
        <v>14</v>
      </c>
      <c r="G42" s="4" t="s">
        <v>15</v>
      </c>
      <c r="H42" s="5" t="n">
        <f>2.0</f>
        <v>2.0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49</v>
      </c>
      <c r="F43" s="4" t="s">
        <v>50</v>
      </c>
      <c r="G43" s="4" t="s">
        <v>51</v>
      </c>
      <c r="H43" s="5" t="n">
        <f>76.0</f>
        <v>76.0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70</v>
      </c>
      <c r="F44" s="4" t="s">
        <v>71</v>
      </c>
      <c r="G44" s="4" t="s">
        <v>72</v>
      </c>
      <c r="H44" s="5" t="n">
        <f>58.0</f>
        <v>58.0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25</v>
      </c>
      <c r="F45" s="4" t="s">
        <v>26</v>
      </c>
      <c r="G45" s="4" t="s">
        <v>27</v>
      </c>
      <c r="H45" s="5" t="n">
        <f>50.0</f>
        <v>50.0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25</v>
      </c>
      <c r="F46" s="4" t="s">
        <v>26</v>
      </c>
      <c r="G46" s="4" t="s">
        <v>27</v>
      </c>
      <c r="H46" s="5" t="n">
        <f>4.0</f>
        <v>4.0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70</v>
      </c>
      <c r="F47" s="4" t="s">
        <v>71</v>
      </c>
      <c r="G47" s="4" t="s">
        <v>72</v>
      </c>
      <c r="H47" s="5" t="n">
        <f>2.0</f>
        <v>2.0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19</v>
      </c>
      <c r="F48" s="4" t="s">
        <v>20</v>
      </c>
      <c r="G48" s="4" t="s">
        <v>21</v>
      </c>
      <c r="H48" s="5" t="n">
        <f>2483.0</f>
        <v>2483.0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46</v>
      </c>
      <c r="F49" s="4" t="s">
        <v>47</v>
      </c>
      <c r="G49" s="4" t="s">
        <v>48</v>
      </c>
      <c r="H49" s="5" t="n">
        <f>1972.0</f>
        <v>1972.0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31</v>
      </c>
      <c r="F50" s="4" t="s">
        <v>32</v>
      </c>
      <c r="G50" s="4" t="s">
        <v>33</v>
      </c>
      <c r="H50" s="5" t="n">
        <f>1562.0</f>
        <v>1562.0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13</v>
      </c>
      <c r="F51" s="4" t="s">
        <v>14</v>
      </c>
      <c r="G51" s="4" t="s">
        <v>15</v>
      </c>
      <c r="H51" s="5" t="n">
        <f>669.0</f>
        <v>669.0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16</v>
      </c>
      <c r="F52" s="4" t="s">
        <v>17</v>
      </c>
      <c r="G52" s="4" t="s">
        <v>18</v>
      </c>
      <c r="H52" s="5" t="n">
        <f>398.0</f>
        <v>398.0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22</v>
      </c>
      <c r="F53" s="4" t="s">
        <v>23</v>
      </c>
      <c r="G53" s="4" t="s">
        <v>24</v>
      </c>
      <c r="H53" s="5" t="n">
        <f>321.0</f>
        <v>321.0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25</v>
      </c>
      <c r="F54" s="4" t="s">
        <v>26</v>
      </c>
      <c r="G54" s="4" t="s">
        <v>27</v>
      </c>
      <c r="H54" s="5" t="n">
        <f>244.0</f>
        <v>244.0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37</v>
      </c>
      <c r="F55" s="4" t="s">
        <v>38</v>
      </c>
      <c r="G55" s="4" t="s">
        <v>39</v>
      </c>
      <c r="H55" s="5" t="n">
        <f>234.0</f>
        <v>234.0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52</v>
      </c>
      <c r="F56" s="4" t="s">
        <v>53</v>
      </c>
      <c r="G56" s="4" t="s">
        <v>54</v>
      </c>
      <c r="H56" s="5" t="n">
        <f>200.0</f>
        <v>200.0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28</v>
      </c>
      <c r="F57" s="4" t="s">
        <v>29</v>
      </c>
      <c r="G57" s="4" t="s">
        <v>30</v>
      </c>
      <c r="H57" s="5" t="n">
        <f>162.0</f>
        <v>162.0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85</v>
      </c>
      <c r="F58" s="4" t="s">
        <v>86</v>
      </c>
      <c r="G58" s="4" t="s">
        <v>87</v>
      </c>
      <c r="H58" s="5" t="n">
        <f>100.0</f>
        <v>100.0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43</v>
      </c>
      <c r="F59" s="4" t="s">
        <v>44</v>
      </c>
      <c r="G59" s="4" t="s">
        <v>45</v>
      </c>
      <c r="H59" s="5" t="n">
        <f>84.0</f>
        <v>84.0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55</v>
      </c>
      <c r="F60" s="4" t="s">
        <v>56</v>
      </c>
      <c r="G60" s="4" t="s">
        <v>57</v>
      </c>
      <c r="H60" s="5" t="n">
        <f>67.0</f>
        <v>67.0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34</v>
      </c>
      <c r="F61" s="4" t="s">
        <v>35</v>
      </c>
      <c r="G61" s="4" t="s">
        <v>36</v>
      </c>
      <c r="H61" s="5" t="n">
        <f>65.0</f>
        <v>65.0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58</v>
      </c>
      <c r="F62" s="4" t="s">
        <v>59</v>
      </c>
      <c r="G62" s="4" t="s">
        <v>60</v>
      </c>
      <c r="H62" s="5" t="n">
        <f>40.0</f>
        <v>40.0</v>
      </c>
    </row>
    <row r="63">
      <c r="A63" s="3" t="s">
        <v>82</v>
      </c>
      <c r="B63" s="4" t="s">
        <v>83</v>
      </c>
      <c r="C63" s="4" t="s">
        <v>84</v>
      </c>
      <c r="D63" s="3" t="n">
        <v>16.0</v>
      </c>
      <c r="E63" s="4" t="s">
        <v>64</v>
      </c>
      <c r="F63" s="4" t="s">
        <v>65</v>
      </c>
      <c r="G63" s="4" t="s">
        <v>66</v>
      </c>
      <c r="H63" s="5" t="n">
        <f>36.0</f>
        <v>36.0</v>
      </c>
    </row>
    <row r="64">
      <c r="A64" s="3" t="s">
        <v>82</v>
      </c>
      <c r="B64" s="4" t="s">
        <v>83</v>
      </c>
      <c r="C64" s="4" t="s">
        <v>84</v>
      </c>
      <c r="D64" s="3" t="n">
        <v>17.0</v>
      </c>
      <c r="E64" s="4" t="s">
        <v>40</v>
      </c>
      <c r="F64" s="4" t="s">
        <v>41</v>
      </c>
      <c r="G64" s="4" t="s">
        <v>42</v>
      </c>
      <c r="H64" s="5" t="n">
        <f>11.0</f>
        <v>11.0</v>
      </c>
    </row>
    <row r="65">
      <c r="A65" s="3" t="s">
        <v>82</v>
      </c>
      <c r="B65" s="4" t="s">
        <v>83</v>
      </c>
      <c r="C65" s="4" t="s">
        <v>84</v>
      </c>
      <c r="D65" s="3" t="n">
        <v>18.0</v>
      </c>
      <c r="E65" s="4" t="s">
        <v>70</v>
      </c>
      <c r="F65" s="4" t="s">
        <v>71</v>
      </c>
      <c r="G65" s="4" t="s">
        <v>72</v>
      </c>
      <c r="H65" s="5" t="n">
        <f>6.0</f>
        <v>6.0</v>
      </c>
    </row>
    <row r="66">
      <c r="A66" s="3" t="s">
        <v>82</v>
      </c>
      <c r="B66" s="4" t="s">
        <v>88</v>
      </c>
      <c r="C66" s="4" t="s">
        <v>89</v>
      </c>
      <c r="D66" s="3" t="n">
        <v>1.0</v>
      </c>
      <c r="E66" s="4" t="s">
        <v>46</v>
      </c>
      <c r="F66" s="4" t="s">
        <v>47</v>
      </c>
      <c r="G66" s="4" t="s">
        <v>48</v>
      </c>
      <c r="H66" s="5" t="n">
        <f>1200.0</f>
        <v>1200.0</v>
      </c>
    </row>
    <row r="67">
      <c r="A67" s="3" t="s">
        <v>82</v>
      </c>
      <c r="B67" s="4" t="s">
        <v>88</v>
      </c>
      <c r="C67" s="4" t="s">
        <v>89</v>
      </c>
      <c r="D67" s="3" t="n">
        <v>2.0</v>
      </c>
      <c r="E67" s="4" t="s">
        <v>19</v>
      </c>
      <c r="F67" s="4" t="s">
        <v>20</v>
      </c>
      <c r="G67" s="4" t="s">
        <v>21</v>
      </c>
      <c r="H67" s="5" t="n">
        <f>1000.0</f>
        <v>1000.0</v>
      </c>
    </row>
    <row r="68">
      <c r="A68" s="3" t="s">
        <v>82</v>
      </c>
      <c r="B68" s="4" t="s">
        <v>88</v>
      </c>
      <c r="C68" s="4" t="s">
        <v>89</v>
      </c>
      <c r="D68" s="3" t="n">
        <v>3.0</v>
      </c>
      <c r="E68" s="4" t="s">
        <v>13</v>
      </c>
      <c r="F68" s="4" t="s">
        <v>14</v>
      </c>
      <c r="G68" s="4" t="s">
        <v>15</v>
      </c>
      <c r="H68" s="5" t="n">
        <f>200.0</f>
        <v>200.0</v>
      </c>
    </row>
    <row r="69">
      <c r="A69" s="3" t="s">
        <v>90</v>
      </c>
      <c r="B69" s="4" t="s">
        <v>91</v>
      </c>
      <c r="C69" s="4" t="s">
        <v>92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2.0</f>
        <v>2.0</v>
      </c>
    </row>
    <row r="70">
      <c r="A70" s="3" t="s">
        <v>90</v>
      </c>
      <c r="B70" s="4" t="s">
        <v>93</v>
      </c>
      <c r="C70" s="4" t="s">
        <v>94</v>
      </c>
      <c r="D70" s="3" t="n">
        <v>1.0</v>
      </c>
      <c r="E70" s="4" t="s">
        <v>49</v>
      </c>
      <c r="F70" s="4" t="s">
        <v>50</v>
      </c>
      <c r="G70" s="4" t="s">
        <v>51</v>
      </c>
      <c r="H70" s="5" t="n">
        <f>12.0</f>
        <v>12.0</v>
      </c>
    </row>
    <row r="71">
      <c r="A71" s="3" t="s">
        <v>90</v>
      </c>
      <c r="B71" s="4" t="s">
        <v>93</v>
      </c>
      <c r="C71" s="4" t="s">
        <v>94</v>
      </c>
      <c r="D71" s="3" t="n">
        <v>2.0</v>
      </c>
      <c r="E71" s="4" t="s">
        <v>25</v>
      </c>
      <c r="F71" s="4" t="s">
        <v>26</v>
      </c>
      <c r="G71" s="4" t="s">
        <v>27</v>
      </c>
      <c r="H71" s="5" t="n">
        <f>4.0</f>
        <v>4.0</v>
      </c>
    </row>
    <row r="72">
      <c r="A72" s="3" t="s">
        <v>90</v>
      </c>
      <c r="B72" s="4" t="s">
        <v>95</v>
      </c>
      <c r="C72" s="4" t="s">
        <v>96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1264.0</f>
        <v>1264.0</v>
      </c>
    </row>
    <row r="73">
      <c r="A73" s="3" t="s">
        <v>90</v>
      </c>
      <c r="B73" s="4" t="s">
        <v>97</v>
      </c>
      <c r="C73" s="4" t="s">
        <v>98</v>
      </c>
      <c r="D73" s="3" t="n">
        <v>1.0</v>
      </c>
      <c r="E73" s="4" t="s">
        <v>19</v>
      </c>
      <c r="F73" s="4" t="s">
        <v>20</v>
      </c>
      <c r="G73" s="4" t="s">
        <v>21</v>
      </c>
      <c r="H73" s="5" t="n">
        <f>40.0</f>
        <v>40.0</v>
      </c>
    </row>
    <row r="74">
      <c r="A74" s="3" t="s">
        <v>90</v>
      </c>
      <c r="B74" s="4" t="s">
        <v>99</v>
      </c>
      <c r="C74" s="4" t="s">
        <v>100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14.0</f>
        <v>14.0</v>
      </c>
    </row>
    <row r="75">
      <c r="A75" s="3" t="s">
        <v>90</v>
      </c>
      <c r="B75" s="4" t="s">
        <v>101</v>
      </c>
      <c r="C75" s="4" t="s">
        <v>102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104.0</f>
        <v>104.0</v>
      </c>
    </row>
    <row r="76">
      <c r="A76" s="3" t="s">
        <v>90</v>
      </c>
      <c r="B76" s="4" t="s">
        <v>103</v>
      </c>
      <c r="C76" s="4" t="s">
        <v>104</v>
      </c>
      <c r="D76" s="3" t="n">
        <v>1.0</v>
      </c>
      <c r="E76" s="4" t="s">
        <v>49</v>
      </c>
      <c r="F76" s="4" t="s">
        <v>50</v>
      </c>
      <c r="G76" s="4" t="s">
        <v>51</v>
      </c>
      <c r="H7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