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<sst xmlns="http://schemas.openxmlformats.org/spreadsheetml/2006/main" count="334" uniqueCount="92">
  <si>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</si>
  <si>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</si>
  <si>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</si>
  <si>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</si>
  <si>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</si>
  <si>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</si>
  <si>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</si>
  <si>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</si>
  <si>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</si>
  <si>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20260716</t>
  </si>
  <si>
    <t>NK225F</t>
  </si>
  <si>
    <t>161090018</t>
  </si>
  <si>
    <t>NIKKEI 225 FUT 2609</t>
  </si>
  <si>
    <t>11256</t>
  </si>
  <si>
    <t>ＳＢＩ証券</t>
  </si>
  <si>
    <t>SBI SECURITIES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</si>
  <si>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</si>
  <si>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</si>
  <si>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</si>
  <si>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</si>
  <si>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</si>
  <si>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</si>
  <si>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</si>
  <si>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</si>
  <si>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</si>
  <si>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</si>
  <si>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</si>
  <si>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</si>
  <si>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11696</t>
  </si>
  <si>
    <t>みずほ証券</t>
  </si>
  <si>
    <t>Mizuho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</si>
  <si>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</si>
  <si>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</si>
  <si>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</si>
  <si>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</si>
  <si>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</si>
  <si>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</si>
  <si>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</si>
  <si>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</si>
  <si>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</si>
  <si>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12410</t>
  </si>
  <si>
    <t>バークレイズ証券</t>
  </si>
  <si>
    <t>Barclays Securities Japan</t>
  </si>
  <si>
    <t>12057</t>
  </si>
  <si>
    <t>楽天証券</t>
  </si>
  <si>
    <t>Rakuten Securities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</si>
  <si>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</si>
  <si>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</si>
  <si>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</si>
  <si>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</si>
  <si>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</si>
  <si>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</si>
  <si>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</si>
  <si>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</si>
  <si>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</si>
  <si>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11788</t>
  </si>
  <si>
    <t>ソシエテＧ証券</t>
  </si>
  <si>
    <t>Societe Generale Securities Japan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</si>
  <si>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</si>
  <si>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</si>
  <si>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</si>
  <si>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</si>
  <si>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</si>
  <si>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</si>
  <si>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11272</t>
  </si>
  <si>
    <t>岡三証券</t>
  </si>
  <si>
    <t>OKASAN SECURITIES</t>
  </si>
  <si>
    <t>12328</t>
  </si>
  <si>
    <t>ＳＭＢＣ日興証券</t>
  </si>
  <si>
    <t>SMBC Nikko Securities</t>
  </si>
  <si>
    <t>12800</t>
  </si>
  <si>
    <t>モルガンＭＵＦＧ証券</t>
  </si>
  <si>
    <t>Morgan Stanley MUFG Securities</t>
  </si>
  <si>
    <t>161120018</t>
  </si>
  <si>
    <t>NIKKEI 225 FUT 2612</t>
  </si>
  <si>
    <t>NK225MF</t>
  </si>
  <si>
    <t>161080019</t>
  </si>
  <si>
    <t>MINI NK225 FUT 2608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</si>
  <si>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</si>
  <si>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</si>
  <si>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</si>
  <si>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</si>
  <si>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</si>
  <si>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</si>
  <si>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</si>
  <si>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NK225E</t>
  </si>
  <si>
    <t>131206518</t>
  </si>
  <si>
    <t>NIKKEI 225 OOP P2608-66500</t>
  </si>
  <si>
    <t>141327518</t>
  </si>
  <si>
    <t>NIKKEI 225 OOP C2608-67500</t>
  </si>
  <si>
    <t>141327018</t>
  </si>
  <si>
    <t>NIKKEI 225 OOP C2608-67000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</si>
</sst>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2781.0</f>
        <v>2781.0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2370.0</f>
        <v>2370.0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1379.0</f>
        <v>1379.0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924.0</f>
        <v>924.0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666.0</f>
        <v>666.0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491.0</f>
        <v>491.0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404.0</f>
        <v>404.0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356.0</f>
        <v>356.0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300.0</f>
        <v>300.0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278.0</f>
        <v>278.0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224.0</f>
        <v>224.0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174.0</f>
        <v>174.0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162.0</f>
        <v>162.0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153.0</f>
        <v>153.0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146.0</f>
        <v>146.0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85.0</f>
        <v>85.0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74.0</f>
        <v>74.0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60.0</f>
        <v>60.0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24.0</f>
        <v>24.0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14.0</f>
        <v>14.0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8.0</f>
        <v>8.0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43</v>
      </c>
      <c r="F30" s="4" t="s">
        <v>44</v>
      </c>
      <c r="G30" s="4" t="s">
        <v>45</v>
      </c>
      <c r="H30" s="5" t="n">
        <f>8.0</f>
        <v>8.0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2862.0</f>
        <v>2862.0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43</v>
      </c>
      <c r="F32" s="4" t="s">
        <v>44</v>
      </c>
      <c r="G32" s="4" t="s">
        <v>45</v>
      </c>
      <c r="H32" s="5" t="n">
        <f>1876.0</f>
        <v>1876.0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61</v>
      </c>
      <c r="F33" s="4" t="s">
        <v>62</v>
      </c>
      <c r="G33" s="4" t="s">
        <v>63</v>
      </c>
      <c r="H33" s="5" t="n">
        <f>208.0</f>
        <v>208.0</v>
      </c>
    </row>
    <row r="34">
      <c r="A34" s="3" t="s">
        <v>75</v>
      </c>
      <c r="B34" s="4" t="s">
        <v>78</v>
      </c>
      <c r="C34" s="4" t="s">
        <v>79</v>
      </c>
      <c r="D34" s="3" t="n">
        <v>1.0</v>
      </c>
      <c r="E34" s="4" t="s">
        <v>13</v>
      </c>
      <c r="F34" s="4" t="s">
        <v>14</v>
      </c>
      <c r="G34" s="4" t="s">
        <v>15</v>
      </c>
      <c r="H34" s="5" t="n">
        <f>44728.0</f>
        <v>44728.0</v>
      </c>
    </row>
    <row r="35">
      <c r="A35" s="3" t="s">
        <v>75</v>
      </c>
      <c r="B35" s="4" t="s">
        <v>78</v>
      </c>
      <c r="C35" s="4" t="s">
        <v>79</v>
      </c>
      <c r="D35" s="3" t="n">
        <v>2.0</v>
      </c>
      <c r="E35" s="4" t="s">
        <v>43</v>
      </c>
      <c r="F35" s="4" t="s">
        <v>44</v>
      </c>
      <c r="G35" s="4" t="s">
        <v>45</v>
      </c>
      <c r="H35" s="5" t="n">
        <f>24522.0</f>
        <v>24522.0</v>
      </c>
    </row>
    <row r="36">
      <c r="A36" s="3" t="s">
        <v>75</v>
      </c>
      <c r="B36" s="4" t="s">
        <v>78</v>
      </c>
      <c r="C36" s="4" t="s">
        <v>79</v>
      </c>
      <c r="D36" s="3" t="n">
        <v>3.0</v>
      </c>
      <c r="E36" s="4" t="s">
        <v>61</v>
      </c>
      <c r="F36" s="4" t="s">
        <v>62</v>
      </c>
      <c r="G36" s="4" t="s">
        <v>63</v>
      </c>
      <c r="H36" s="5" t="n">
        <f>4166.0</f>
        <v>4166.0</v>
      </c>
    </row>
    <row r="37">
      <c r="A37" s="3" t="s">
        <v>75</v>
      </c>
      <c r="B37" s="4" t="s">
        <v>78</v>
      </c>
      <c r="C37" s="4" t="s">
        <v>79</v>
      </c>
      <c r="D37" s="3" t="n">
        <v>4.0</v>
      </c>
      <c r="E37" s="4" t="s">
        <v>67</v>
      </c>
      <c r="F37" s="4" t="s">
        <v>68</v>
      </c>
      <c r="G37" s="4" t="s">
        <v>69</v>
      </c>
      <c r="H37" s="5" t="n">
        <f>16.0</f>
        <v>16.0</v>
      </c>
    </row>
    <row r="38">
      <c r="A38" s="3" t="s">
        <v>75</v>
      </c>
      <c r="B38" s="4" t="s">
        <v>78</v>
      </c>
      <c r="C38" s="4" t="s">
        <v>79</v>
      </c>
      <c r="D38" s="3" t="n">
        <v>5.0</v>
      </c>
      <c r="E38" s="4" t="s">
        <v>22</v>
      </c>
      <c r="F38" s="4" t="s">
        <v>23</v>
      </c>
      <c r="G38" s="4" t="s">
        <v>24</v>
      </c>
      <c r="H38" s="5" t="n">
        <f>6.0</f>
        <v>6.0</v>
      </c>
    </row>
    <row r="39">
      <c r="A39" s="3" t="s">
        <v>75</v>
      </c>
      <c r="B39" s="4" t="s">
        <v>78</v>
      </c>
      <c r="C39" s="4" t="s">
        <v>79</v>
      </c>
      <c r="D39" s="3" t="n">
        <v>5.0</v>
      </c>
      <c r="E39" s="4" t="s">
        <v>16</v>
      </c>
      <c r="F39" s="4" t="s">
        <v>17</v>
      </c>
      <c r="G39" s="4" t="s">
        <v>18</v>
      </c>
      <c r="H39" s="5" t="n">
        <f>6.0</f>
        <v>6.0</v>
      </c>
    </row>
    <row r="40">
      <c r="A40" s="3" t="s">
        <v>75</v>
      </c>
      <c r="B40" s="4" t="s">
        <v>80</v>
      </c>
      <c r="C40" s="4" t="s">
        <v>81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22.0</f>
        <v>22.0</v>
      </c>
    </row>
    <row r="41">
      <c r="A41" s="3" t="s">
        <v>75</v>
      </c>
      <c r="B41" s="4" t="s">
        <v>80</v>
      </c>
      <c r="C41" s="4" t="s">
        <v>81</v>
      </c>
      <c r="D41" s="3" t="n">
        <v>2.0</v>
      </c>
      <c r="E41" s="4" t="s">
        <v>61</v>
      </c>
      <c r="F41" s="4" t="s">
        <v>62</v>
      </c>
      <c r="G41" s="4" t="s">
        <v>63</v>
      </c>
      <c r="H41" s="5" t="n">
        <f>8.0</f>
        <v>8.0</v>
      </c>
    </row>
    <row r="42">
      <c r="A42" s="3" t="s">
        <v>82</v>
      </c>
      <c r="B42" s="4" t="s">
        <v>83</v>
      </c>
      <c r="C42" s="4" t="s">
        <v>84</v>
      </c>
      <c r="D42" s="3" t="n">
        <v>1.0</v>
      </c>
      <c r="E42" s="4" t="s">
        <v>67</v>
      </c>
      <c r="F42" s="4" t="s">
        <v>68</v>
      </c>
      <c r="G42" s="4" t="s">
        <v>69</v>
      </c>
      <c r="H42" s="5" t="n">
        <f>2461.0</f>
        <v>2461.0</v>
      </c>
    </row>
    <row r="43">
      <c r="A43" s="3" t="s">
        <v>82</v>
      </c>
      <c r="B43" s="4" t="s">
        <v>83</v>
      </c>
      <c r="C43" s="4" t="s">
        <v>84</v>
      </c>
      <c r="D43" s="3" t="n">
        <v>2.0</v>
      </c>
      <c r="E43" s="4" t="s">
        <v>22</v>
      </c>
      <c r="F43" s="4" t="s">
        <v>23</v>
      </c>
      <c r="G43" s="4" t="s">
        <v>24</v>
      </c>
      <c r="H43" s="5" t="n">
        <f>2346.0</f>
        <v>2346.0</v>
      </c>
    </row>
    <row r="44">
      <c r="A44" s="3" t="s">
        <v>82</v>
      </c>
      <c r="B44" s="4" t="s">
        <v>83</v>
      </c>
      <c r="C44" s="4" t="s">
        <v>84</v>
      </c>
      <c r="D44" s="3" t="n">
        <v>3.0</v>
      </c>
      <c r="E44" s="4" t="s">
        <v>70</v>
      </c>
      <c r="F44" s="4" t="s">
        <v>71</v>
      </c>
      <c r="G44" s="4" t="s">
        <v>72</v>
      </c>
      <c r="H44" s="5" t="n">
        <f>2065.0</f>
        <v>2065.0</v>
      </c>
    </row>
    <row r="45">
      <c r="A45" s="3" t="s">
        <v>82</v>
      </c>
      <c r="B45" s="4" t="s">
        <v>83</v>
      </c>
      <c r="C45" s="4" t="s">
        <v>84</v>
      </c>
      <c r="D45" s="3" t="n">
        <v>4.0</v>
      </c>
      <c r="E45" s="4" t="s">
        <v>28</v>
      </c>
      <c r="F45" s="4" t="s">
        <v>29</v>
      </c>
      <c r="G45" s="4" t="s">
        <v>30</v>
      </c>
      <c r="H45" s="5" t="n">
        <f>1711.0</f>
        <v>1711.0</v>
      </c>
    </row>
    <row r="46">
      <c r="A46" s="3" t="s">
        <v>82</v>
      </c>
      <c r="B46" s="4" t="s">
        <v>83</v>
      </c>
      <c r="C46" s="4" t="s">
        <v>84</v>
      </c>
      <c r="D46" s="3" t="n">
        <v>5.0</v>
      </c>
      <c r="E46" s="4" t="s">
        <v>52</v>
      </c>
      <c r="F46" s="4" t="s">
        <v>53</v>
      </c>
      <c r="G46" s="4" t="s">
        <v>54</v>
      </c>
      <c r="H46" s="5" t="n">
        <f>1642.0</f>
        <v>1642.0</v>
      </c>
    </row>
    <row r="47">
      <c r="A47" s="3" t="s">
        <v>82</v>
      </c>
      <c r="B47" s="4" t="s">
        <v>83</v>
      </c>
      <c r="C47" s="4" t="s">
        <v>84</v>
      </c>
      <c r="D47" s="3" t="n">
        <v>6.0</v>
      </c>
      <c r="E47" s="4" t="s">
        <v>40</v>
      </c>
      <c r="F47" s="4" t="s">
        <v>41</v>
      </c>
      <c r="G47" s="4" t="s">
        <v>42</v>
      </c>
      <c r="H47" s="5" t="n">
        <f>622.0</f>
        <v>622.0</v>
      </c>
    </row>
    <row r="48">
      <c r="A48" s="3" t="s">
        <v>82</v>
      </c>
      <c r="B48" s="4" t="s">
        <v>83</v>
      </c>
      <c r="C48" s="4" t="s">
        <v>84</v>
      </c>
      <c r="D48" s="3" t="n">
        <v>7.0</v>
      </c>
      <c r="E48" s="4" t="s">
        <v>19</v>
      </c>
      <c r="F48" s="4" t="s">
        <v>20</v>
      </c>
      <c r="G48" s="4" t="s">
        <v>21</v>
      </c>
      <c r="H48" s="5" t="n">
        <f>533.0</f>
        <v>533.0</v>
      </c>
    </row>
    <row r="49">
      <c r="A49" s="3" t="s">
        <v>82</v>
      </c>
      <c r="B49" s="4" t="s">
        <v>83</v>
      </c>
      <c r="C49" s="4" t="s">
        <v>84</v>
      </c>
      <c r="D49" s="3" t="n">
        <v>8.0</v>
      </c>
      <c r="E49" s="4" t="s">
        <v>25</v>
      </c>
      <c r="F49" s="4" t="s">
        <v>26</v>
      </c>
      <c r="G49" s="4" t="s">
        <v>27</v>
      </c>
      <c r="H49" s="5" t="n">
        <f>342.0</f>
        <v>342.0</v>
      </c>
    </row>
    <row r="50">
      <c r="A50" s="3" t="s">
        <v>82</v>
      </c>
      <c r="B50" s="4" t="s">
        <v>83</v>
      </c>
      <c r="C50" s="4" t="s">
        <v>84</v>
      </c>
      <c r="D50" s="3" t="n">
        <v>9.0</v>
      </c>
      <c r="E50" s="4" t="s">
        <v>55</v>
      </c>
      <c r="F50" s="4" t="s">
        <v>56</v>
      </c>
      <c r="G50" s="4" t="s">
        <v>57</v>
      </c>
      <c r="H50" s="5" t="n">
        <f>300.0</f>
        <v>300.0</v>
      </c>
    </row>
    <row r="51">
      <c r="A51" s="3" t="s">
        <v>82</v>
      </c>
      <c r="B51" s="4" t="s">
        <v>83</v>
      </c>
      <c r="C51" s="4" t="s">
        <v>84</v>
      </c>
      <c r="D51" s="3" t="n">
        <v>9.0</v>
      </c>
      <c r="E51" s="4" t="s">
        <v>34</v>
      </c>
      <c r="F51" s="4" t="s">
        <v>35</v>
      </c>
      <c r="G51" s="4" t="s">
        <v>36</v>
      </c>
      <c r="H51" s="5" t="n">
        <f>300.0</f>
        <v>300.0</v>
      </c>
    </row>
    <row r="52">
      <c r="A52" s="3" t="s">
        <v>82</v>
      </c>
      <c r="B52" s="4" t="s">
        <v>83</v>
      </c>
      <c r="C52" s="4" t="s">
        <v>84</v>
      </c>
      <c r="D52" s="3" t="n">
        <v>11.0</v>
      </c>
      <c r="E52" s="4" t="s">
        <v>13</v>
      </c>
      <c r="F52" s="4" t="s">
        <v>14</v>
      </c>
      <c r="G52" s="4" t="s">
        <v>15</v>
      </c>
      <c r="H52" s="5" t="n">
        <f>210.0</f>
        <v>210.0</v>
      </c>
    </row>
    <row r="53">
      <c r="A53" s="3" t="s">
        <v>82</v>
      </c>
      <c r="B53" s="4" t="s">
        <v>83</v>
      </c>
      <c r="C53" s="4" t="s">
        <v>84</v>
      </c>
      <c r="D53" s="3" t="n">
        <v>12.0</v>
      </c>
      <c r="E53" s="4" t="s">
        <v>37</v>
      </c>
      <c r="F53" s="4" t="s">
        <v>38</v>
      </c>
      <c r="G53" s="4" t="s">
        <v>39</v>
      </c>
      <c r="H53" s="5" t="n">
        <f>128.0</f>
        <v>128.0</v>
      </c>
    </row>
    <row r="54">
      <c r="A54" s="3" t="s">
        <v>82</v>
      </c>
      <c r="B54" s="4" t="s">
        <v>83</v>
      </c>
      <c r="C54" s="4" t="s">
        <v>84</v>
      </c>
      <c r="D54" s="3" t="n">
        <v>13.0</v>
      </c>
      <c r="E54" s="4" t="s">
        <v>64</v>
      </c>
      <c r="F54" s="4" t="s">
        <v>65</v>
      </c>
      <c r="G54" s="4" t="s">
        <v>66</v>
      </c>
      <c r="H54" s="5" t="n">
        <f>100.0</f>
        <v>100.0</v>
      </c>
    </row>
    <row r="55">
      <c r="A55" s="3" t="s">
        <v>82</v>
      </c>
      <c r="B55" s="4" t="s">
        <v>83</v>
      </c>
      <c r="C55" s="4" t="s">
        <v>84</v>
      </c>
      <c r="D55" s="3" t="n">
        <v>14.0</v>
      </c>
      <c r="E55" s="4" t="s">
        <v>16</v>
      </c>
      <c r="F55" s="4" t="s">
        <v>17</v>
      </c>
      <c r="G55" s="4" t="s">
        <v>18</v>
      </c>
      <c r="H55" s="5" t="n">
        <f>60.0</f>
        <v>60.0</v>
      </c>
    </row>
    <row r="56">
      <c r="A56" s="3" t="s">
        <v>82</v>
      </c>
      <c r="B56" s="4" t="s">
        <v>83</v>
      </c>
      <c r="C56" s="4" t="s">
        <v>84</v>
      </c>
      <c r="D56" s="3" t="n">
        <v>15.0</v>
      </c>
      <c r="E56" s="4" t="s">
        <v>46</v>
      </c>
      <c r="F56" s="4" t="s">
        <v>47</v>
      </c>
      <c r="G56" s="4" t="s">
        <v>48</v>
      </c>
      <c r="H56" s="5" t="n">
        <f>38.0</f>
        <v>38.0</v>
      </c>
    </row>
    <row r="57">
      <c r="A57" s="3" t="s">
        <v>82</v>
      </c>
      <c r="B57" s="4" t="s">
        <v>83</v>
      </c>
      <c r="C57" s="4" t="s">
        <v>84</v>
      </c>
      <c r="D57" s="3" t="n">
        <v>16.0</v>
      </c>
      <c r="E57" s="4" t="s">
        <v>61</v>
      </c>
      <c r="F57" s="4" t="s">
        <v>62</v>
      </c>
      <c r="G57" s="4" t="s">
        <v>63</v>
      </c>
      <c r="H57" s="5" t="n">
        <f>22.0</f>
        <v>22.0</v>
      </c>
    </row>
    <row r="58">
      <c r="A58" s="3" t="s">
        <v>85</v>
      </c>
      <c r="B58" s="4" t="s">
        <v>86</v>
      </c>
      <c r="C58" s="4" t="s">
        <v>87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2.0</f>
        <v>2.0</v>
      </c>
    </row>
    <row r="59">
      <c r="A59" s="3" t="s">
        <v>85</v>
      </c>
      <c r="B59" s="4" t="s">
        <v>88</v>
      </c>
      <c r="C59" s="4" t="s">
        <v>89</v>
      </c>
      <c r="D59" s="3" t="n">
        <v>1.0</v>
      </c>
      <c r="E59" s="4" t="s">
        <v>34</v>
      </c>
      <c r="F59" s="4" t="s">
        <v>35</v>
      </c>
      <c r="G59" s="4" t="s">
        <v>36</v>
      </c>
      <c r="H59" s="5" t="n">
        <f>100.0</f>
        <v>100.0</v>
      </c>
    </row>
    <row r="60">
      <c r="A60" s="3" t="s">
        <v>85</v>
      </c>
      <c r="B60" s="4" t="s">
        <v>88</v>
      </c>
      <c r="C60" s="4" t="s">
        <v>89</v>
      </c>
      <c r="D60" s="3" t="n">
        <v>1.0</v>
      </c>
      <c r="E60" s="4" t="s">
        <v>31</v>
      </c>
      <c r="F60" s="4" t="s">
        <v>32</v>
      </c>
      <c r="G60" s="4" t="s">
        <v>33</v>
      </c>
      <c r="H60" s="5" t="n">
        <f>100.0</f>
        <v>100.0</v>
      </c>
    </row>
    <row r="61">
      <c r="A61" s="3" t="s">
        <v>85</v>
      </c>
      <c r="B61" s="4" t="s">
        <v>88</v>
      </c>
      <c r="C61" s="4" t="s">
        <v>89</v>
      </c>
      <c r="D61" s="3" t="n">
        <v>3.0</v>
      </c>
      <c r="E61" s="4" t="s">
        <v>13</v>
      </c>
      <c r="F61" s="4" t="s">
        <v>14</v>
      </c>
      <c r="G61" s="4" t="s">
        <v>15</v>
      </c>
      <c r="H61" s="5" t="n">
        <f>4.0</f>
        <v>4.0</v>
      </c>
    </row>
    <row r="62">
      <c r="A62" s="3" t="s">
        <v>85</v>
      </c>
      <c r="B62" s="4" t="s">
        <v>90</v>
      </c>
      <c r="C62" s="4" t="s">
        <v>91</v>
      </c>
      <c r="D62" s="3" t="n">
        <v>1.0</v>
      </c>
      <c r="E62" s="4" t="s">
        <v>13</v>
      </c>
      <c r="F62" s="4" t="s">
        <v>14</v>
      </c>
      <c r="G62" s="4" t="s">
        <v>15</v>
      </c>
      <c r="H62" s="5" t="n">
        <f>14.0</f>
        <v>14.0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