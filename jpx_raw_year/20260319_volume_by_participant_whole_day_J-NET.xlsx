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<sst xmlns="http://schemas.openxmlformats.org/spreadsheetml/2006/main" count="400" uniqueCount="96">
  <si>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</si>
  <si>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</si>
  <si>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</si>
  <si>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</si>
  <si>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</si>
  <si>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</si>
  <si>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</si>
  <si>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</si>
  <si>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</si>
  <si>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20260319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</si>
  <si>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</si>
  <si>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</si>
  <si>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</si>
  <si>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</si>
  <si>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</si>
  <si>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</si>
  <si>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</si>
  <si>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</si>
  <si>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</si>
  <si>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</si>
  <si>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</si>
  <si>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</si>
  <si>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</si>
  <si>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</si>
  <si>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</si>
  <si>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</si>
  <si>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</si>
  <si>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</si>
  <si>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</si>
  <si>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</si>
  <si>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</si>
  <si>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</si>
  <si>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</si>
  <si>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</si>
  <si>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</si>
  <si>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</si>
  <si>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</si>
  <si>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</si>
  <si>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</si>
  <si>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</si>
  <si>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</si>
  <si>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</si>
  <si>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</si>
  <si>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</si>
  <si>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</si>
  <si>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</si>
  <si>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</si>
  <si>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</si>
  <si>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</si>
  <si>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</si>
  <si>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</si>
  <si>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</si>
  <si>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</si>
  <si>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</si>
  <si>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</si>
  <si>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</si>
  <si>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</si>
  <si>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</si>
  <si>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12000</t>
  </si>
  <si>
    <t>大和証券</t>
  </si>
  <si>
    <t>Daiwa Securities</t>
  </si>
  <si>
    <t>12336</t>
  </si>
  <si>
    <t>日産証券</t>
  </si>
  <si>
    <t>Nissan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</si>
  <si>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</si>
  <si>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</si>
  <si>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</si>
  <si>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</si>
  <si>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</si>
  <si>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</si>
  <si>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</si>
  <si>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</si>
  <si>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</si>
  <si>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</si>
  <si>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</si>
  <si>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</si>
  <si>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</si>
  <si>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</si>
  <si>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</si>
  <si>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</si>
  <si>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</si>
  <si>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</si>
  <si>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</si>
  <si>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</si>
  <si>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</si>
  <si>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NK225E</t>
  </si>
  <si>
    <t>181163018</t>
  </si>
  <si>
    <t>NIKKEI 225 OOP P2604-53000</t>
  </si>
  <si>
    <t>141164218</t>
  </si>
  <si>
    <t>NIKKEI 225 OOP C2604-54250</t>
  </si>
  <si>
    <t>191164018</t>
  </si>
  <si>
    <t>NIKKEI 225 OOP C2604-54000</t>
  </si>
  <si>
    <t>141163718</t>
  </si>
  <si>
    <t>NIKKEI 225 OOP C2604-53750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</si>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</sst>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4020.0</f>
        <v>4020.0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2798.0</f>
        <v>2798.0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1505.0</f>
        <v>1505.0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1160.0</f>
        <v>1160.0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1035.0</f>
        <v>1035.0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866.0</f>
        <v>866.0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843.0</f>
        <v>843.0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775.0</f>
        <v>775.0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769.0</f>
        <v>769.0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579.0</f>
        <v>579.0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518.0</f>
        <v>518.0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409.0</f>
        <v>409.0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333.0</f>
        <v>333.0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215.0</f>
        <v>215.0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188.0</f>
        <v>188.0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135.0</f>
        <v>135.0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124.0</f>
        <v>124.0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44.0</f>
        <v>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28.0</f>
        <v>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24.0</f>
        <v>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70</v>
      </c>
      <c r="F30" s="4" t="s">
        <v>71</v>
      </c>
      <c r="G30" s="4" t="s">
        <v>72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6500.0</f>
        <v>6500.0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55</v>
      </c>
      <c r="F32" s="4" t="s">
        <v>56</v>
      </c>
      <c r="G32" s="4" t="s">
        <v>57</v>
      </c>
      <c r="H32" s="5" t="n">
        <f>2826.0</f>
        <v>2826.0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25</v>
      </c>
      <c r="F33" s="4" t="s">
        <v>26</v>
      </c>
      <c r="G33" s="4" t="s">
        <v>27</v>
      </c>
      <c r="H33" s="5" t="n">
        <f>2648.0</f>
        <v>2648.0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49</v>
      </c>
      <c r="F34" s="4" t="s">
        <v>50</v>
      </c>
      <c r="G34" s="4" t="s">
        <v>51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19</v>
      </c>
      <c r="F35" s="4" t="s">
        <v>20</v>
      </c>
      <c r="G35" s="4" t="s">
        <v>21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70</v>
      </c>
      <c r="F36" s="4" t="s">
        <v>71</v>
      </c>
      <c r="G36" s="4" t="s">
        <v>72</v>
      </c>
      <c r="H36" s="5" t="n">
        <f>288.0</f>
        <v>288.0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110.0</f>
        <v>110.0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55</v>
      </c>
      <c r="F38" s="4" t="s">
        <v>56</v>
      </c>
      <c r="G38" s="4" t="s">
        <v>57</v>
      </c>
      <c r="H38" s="5" t="n">
        <f>18.0</f>
        <v>18.0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70</v>
      </c>
      <c r="F39" s="4" t="s">
        <v>71</v>
      </c>
      <c r="G39" s="4" t="s">
        <v>72</v>
      </c>
      <c r="H39" s="5" t="n">
        <f>14.0</f>
        <v>14.0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25</v>
      </c>
      <c r="F40" s="4" t="s">
        <v>26</v>
      </c>
      <c r="G40" s="4" t="s">
        <v>27</v>
      </c>
      <c r="H40" s="5" t="n">
        <f>43446.0</f>
        <v>43446.0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55</v>
      </c>
      <c r="F41" s="4" t="s">
        <v>56</v>
      </c>
      <c r="G41" s="4" t="s">
        <v>57</v>
      </c>
      <c r="H41" s="5" t="n">
        <f>23384.0</f>
        <v>23384.0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70</v>
      </c>
      <c r="F42" s="4" t="s">
        <v>71</v>
      </c>
      <c r="G42" s="4" t="s">
        <v>72</v>
      </c>
      <c r="H42" s="5" t="n">
        <f>5160.0</f>
        <v>5160.0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13</v>
      </c>
      <c r="F43" s="4" t="s">
        <v>14</v>
      </c>
      <c r="G43" s="4" t="s">
        <v>15</v>
      </c>
      <c r="H43" s="5" t="n">
        <f>120.0</f>
        <v>120.0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31</v>
      </c>
      <c r="F44" s="4" t="s">
        <v>32</v>
      </c>
      <c r="G44" s="4" t="s">
        <v>33</v>
      </c>
      <c r="H44" s="5" t="n">
        <f>58.0</f>
        <v>58.0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28</v>
      </c>
      <c r="F45" s="4" t="s">
        <v>29</v>
      </c>
      <c r="G45" s="4" t="s">
        <v>30</v>
      </c>
      <c r="H45" s="5" t="n">
        <f>44.0</f>
        <v>44.0</v>
      </c>
    </row>
    <row r="46">
      <c r="A46" s="3" t="s">
        <v>75</v>
      </c>
      <c r="B46" s="4" t="s">
        <v>80</v>
      </c>
      <c r="C46" s="4" t="s">
        <v>81</v>
      </c>
      <c r="D46" s="3" t="n">
        <v>7.0</v>
      </c>
      <c r="E46" s="4" t="s">
        <v>22</v>
      </c>
      <c r="F46" s="4" t="s">
        <v>23</v>
      </c>
      <c r="G46" s="4" t="s">
        <v>24</v>
      </c>
      <c r="H46" s="5" t="n">
        <f>13.0</f>
        <v>13.0</v>
      </c>
    </row>
    <row r="47">
      <c r="A47" s="3" t="s">
        <v>75</v>
      </c>
      <c r="B47" s="4" t="s">
        <v>80</v>
      </c>
      <c r="C47" s="4" t="s">
        <v>81</v>
      </c>
      <c r="D47" s="3" t="n">
        <v>7.0</v>
      </c>
      <c r="E47" s="4" t="s">
        <v>40</v>
      </c>
      <c r="F47" s="4" t="s">
        <v>41</v>
      </c>
      <c r="G47" s="4" t="s">
        <v>42</v>
      </c>
      <c r="H47" s="5" t="n">
        <f>13.0</f>
        <v>13.0</v>
      </c>
    </row>
    <row r="48">
      <c r="A48" s="3" t="s">
        <v>75</v>
      </c>
      <c r="B48" s="4" t="s">
        <v>80</v>
      </c>
      <c r="C48" s="4" t="s">
        <v>81</v>
      </c>
      <c r="D48" s="3" t="n">
        <v>9.0</v>
      </c>
      <c r="E48" s="4" t="s">
        <v>16</v>
      </c>
      <c r="F48" s="4" t="s">
        <v>17</v>
      </c>
      <c r="G48" s="4" t="s">
        <v>18</v>
      </c>
      <c r="H48" s="5" t="n">
        <f>9.0</f>
        <v>9.0</v>
      </c>
    </row>
    <row r="49">
      <c r="A49" s="3" t="s">
        <v>75</v>
      </c>
      <c r="B49" s="4" t="s">
        <v>80</v>
      </c>
      <c r="C49" s="4" t="s">
        <v>81</v>
      </c>
      <c r="D49" s="3" t="n">
        <v>10.0</v>
      </c>
      <c r="E49" s="4" t="s">
        <v>19</v>
      </c>
      <c r="F49" s="4" t="s">
        <v>20</v>
      </c>
      <c r="G49" s="4" t="s">
        <v>21</v>
      </c>
      <c r="H49" s="5" t="n">
        <f>7.0</f>
        <v>7.0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34</v>
      </c>
      <c r="F50" s="4" t="s">
        <v>35</v>
      </c>
      <c r="G50" s="4" t="s">
        <v>36</v>
      </c>
      <c r="H50" s="5" t="n">
        <f>2301.0</f>
        <v>2301.0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31</v>
      </c>
      <c r="F51" s="4" t="s">
        <v>32</v>
      </c>
      <c r="G51" s="4" t="s">
        <v>33</v>
      </c>
      <c r="H51" s="5" t="n">
        <f>1637.0</f>
        <v>1637.0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52</v>
      </c>
      <c r="F52" s="4" t="s">
        <v>53</v>
      </c>
      <c r="G52" s="4" t="s">
        <v>54</v>
      </c>
      <c r="H52" s="5" t="n">
        <f>1541.0</f>
        <v>1541.0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16</v>
      </c>
      <c r="F53" s="4" t="s">
        <v>17</v>
      </c>
      <c r="G53" s="4" t="s">
        <v>18</v>
      </c>
      <c r="H53" s="5" t="n">
        <f>1433.0</f>
        <v>1433.0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28</v>
      </c>
      <c r="F54" s="4" t="s">
        <v>29</v>
      </c>
      <c r="G54" s="4" t="s">
        <v>30</v>
      </c>
      <c r="H54" s="5" t="n">
        <f>1380.0</f>
        <v>1380.0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67</v>
      </c>
      <c r="F55" s="4" t="s">
        <v>68</v>
      </c>
      <c r="G55" s="4" t="s">
        <v>69</v>
      </c>
      <c r="H55" s="5" t="n">
        <f>915.0</f>
        <v>915.0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58</v>
      </c>
      <c r="F56" s="4" t="s">
        <v>59</v>
      </c>
      <c r="G56" s="4" t="s">
        <v>60</v>
      </c>
      <c r="H56" s="5" t="n">
        <f>704.0</f>
        <v>704.0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49</v>
      </c>
      <c r="F57" s="4" t="s">
        <v>50</v>
      </c>
      <c r="G57" s="4" t="s">
        <v>51</v>
      </c>
      <c r="H57" s="5" t="n">
        <f>664.0</f>
        <v>664.0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13</v>
      </c>
      <c r="F58" s="4" t="s">
        <v>14</v>
      </c>
      <c r="G58" s="4" t="s">
        <v>15</v>
      </c>
      <c r="H58" s="5" t="n">
        <f>611.0</f>
        <v>611.0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46</v>
      </c>
      <c r="F59" s="4" t="s">
        <v>47</v>
      </c>
      <c r="G59" s="4" t="s">
        <v>48</v>
      </c>
      <c r="H59" s="5" t="n">
        <f>311.0</f>
        <v>311.0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25</v>
      </c>
      <c r="F60" s="4" t="s">
        <v>26</v>
      </c>
      <c r="G60" s="4" t="s">
        <v>27</v>
      </c>
      <c r="H60" s="5" t="n">
        <f>205.0</f>
        <v>205.0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40</v>
      </c>
      <c r="F61" s="4" t="s">
        <v>41</v>
      </c>
      <c r="G61" s="4" t="s">
        <v>42</v>
      </c>
      <c r="H61" s="5" t="n">
        <f>204.0</f>
        <v>204.0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43</v>
      </c>
      <c r="F62" s="4" t="s">
        <v>44</v>
      </c>
      <c r="G62" s="4" t="s">
        <v>45</v>
      </c>
      <c r="H62" s="5" t="n">
        <f>200.0</f>
        <v>200.0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19</v>
      </c>
      <c r="F63" s="4" t="s">
        <v>20</v>
      </c>
      <c r="G63" s="4" t="s">
        <v>21</v>
      </c>
      <c r="H63" s="5" t="n">
        <f>181.0</f>
        <v>181.0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22</v>
      </c>
      <c r="F64" s="4" t="s">
        <v>23</v>
      </c>
      <c r="G64" s="4" t="s">
        <v>24</v>
      </c>
      <c r="H64" s="5" t="n">
        <f>76.0</f>
        <v>76.0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70</v>
      </c>
      <c r="F65" s="4" t="s">
        <v>71</v>
      </c>
      <c r="G65" s="4" t="s">
        <v>72</v>
      </c>
      <c r="H65" s="5" t="n">
        <f>14.0</f>
        <v>14.0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37</v>
      </c>
      <c r="F66" s="4" t="s">
        <v>38</v>
      </c>
      <c r="G66" s="4" t="s">
        <v>39</v>
      </c>
      <c r="H66" s="5" t="n">
        <f>11.0</f>
        <v>11.0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2.0</f>
        <v>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55</v>
      </c>
      <c r="F68" s="4" t="s">
        <v>56</v>
      </c>
      <c r="G68" s="4" t="s">
        <v>57</v>
      </c>
      <c r="H68" s="5" t="n">
        <f>2.0</f>
        <v>2.0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350.0</f>
        <v>350.0</v>
      </c>
    </row>
    <row r="70">
      <c r="A70" s="3" t="s">
        <v>85</v>
      </c>
      <c r="B70" s="4" t="s">
        <v>90</v>
      </c>
      <c r="C70" s="4" t="s">
        <v>91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350.0</f>
        <v>350.0</v>
      </c>
    </row>
    <row r="71">
      <c r="A71" s="3" t="s">
        <v>85</v>
      </c>
      <c r="B71" s="4" t="s">
        <v>90</v>
      </c>
      <c r="C71" s="4" t="s">
        <v>91</v>
      </c>
      <c r="D71" s="3" t="n">
        <v>3.0</v>
      </c>
      <c r="E71" s="4" t="s">
        <v>55</v>
      </c>
      <c r="F71" s="4" t="s">
        <v>56</v>
      </c>
      <c r="G71" s="4" t="s">
        <v>57</v>
      </c>
      <c r="H71" s="5" t="n">
        <f>2.0</f>
        <v>2.0</v>
      </c>
    </row>
    <row r="72">
      <c r="A72" s="3" t="s">
        <v>85</v>
      </c>
      <c r="B72" s="4" t="s">
        <v>92</v>
      </c>
      <c r="C72" s="4" t="s">
        <v>93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2.0</f>
        <v>2.0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