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<sst xmlns="http://schemas.openxmlformats.org/spreadsheetml/2006/main" count="526" uniqueCount="103">
  <si>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</si>
  <si>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</si>
  <si>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</si>
  <si>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</si>
  <si>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</si>
  <si>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</si>
  <si>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</si>
  <si>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</si>
  <si>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</si>
  <si>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20260810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</si>
  <si>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</si>
  <si>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</si>
  <si>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</si>
  <si>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</si>
  <si>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</si>
  <si>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</si>
  <si>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</si>
  <si>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</si>
  <si>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</si>
  <si>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</si>
  <si>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</si>
  <si>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</si>
  <si>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</si>
  <si>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</si>
  <si>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</si>
  <si>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</si>
  <si>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</si>
  <si>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</si>
  <si>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</si>
  <si>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</si>
  <si>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</si>
  <si>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</si>
  <si>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</si>
  <si>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</si>
  <si>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</si>
  <si>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</si>
  <si>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</si>
  <si>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</si>
  <si>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</si>
  <si>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</si>
  <si>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</si>
  <si>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</si>
  <si>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</si>
  <si>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</si>
  <si>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</si>
  <si>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</si>
  <si>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</si>
  <si>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</si>
  <si>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</si>
  <si>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</si>
  <si>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</si>
  <si>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</si>
  <si>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</si>
  <si>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</si>
  <si>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</si>
  <si>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</si>
  <si>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</si>
  <si>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</si>
  <si>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</si>
  <si>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</si>
  <si>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</si>
  <si>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</si>
  <si>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</si>
  <si>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</si>
  <si>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</si>
  <si>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</si>
  <si>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</si>
  <si>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</si>
  <si>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</si>
  <si>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</si>
  <si>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</si>
  <si>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</si>
  <si>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</si>
  <si>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</si>
  <si>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</si>
  <si>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</si>
  <si>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</si>
  <si>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</si>
  <si>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</si>
  <si>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</si>
  <si>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</si>
  <si>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</si>
  <si>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</si>
  <si>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</si>
  <si>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</si>
  <si>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12000</t>
  </si>
  <si>
    <t>大和証券</t>
  </si>
  <si>
    <t>Daiwa Securities</t>
  </si>
  <si>
    <t>NK225E</t>
  </si>
  <si>
    <t>131326018</t>
  </si>
  <si>
    <t>NIKKEI 225 OOP P2608-66000</t>
  </si>
  <si>
    <t>131206518</t>
  </si>
  <si>
    <t>NIKKEI 225 OOP P2608-66500</t>
  </si>
  <si>
    <t>131327018</t>
  </si>
  <si>
    <t>NIKKEI 225 OOP P2608-67000</t>
  </si>
  <si>
    <t>141328018</t>
  </si>
  <si>
    <t>NIKKEI 225 OOP C2608-68000</t>
  </si>
  <si>
    <t>191207718</t>
  </si>
  <si>
    <t>NIKKEI 225 OOP C2608-67750</t>
  </si>
  <si>
    <t>141327518</t>
  </si>
  <si>
    <t>NIKKEI 225 OOP C2608-67500</t>
  </si>
  <si>
    <t>141327018</t>
  </si>
  <si>
    <t>NIKKEI 225 OOP C2608-67000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</si>
</sst>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1948.0</f>
        <v>1948.0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1644.0</f>
        <v>1644.0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1034.0</f>
        <v>1034.0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1011.0</f>
        <v>1011.0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877.0</f>
        <v>877.0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809.0</f>
        <v>809.0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710.0</f>
        <v>710.0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688.0</f>
        <v>688.0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664.0</f>
        <v>664.0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545.0</f>
        <v>545.0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489.0</f>
        <v>489.0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460.0</f>
        <v>460.0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366.0</f>
        <v>366.0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324.0</f>
        <v>324.0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281.0</f>
        <v>281.0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150.0</f>
        <v>150.0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123.0</f>
        <v>123.0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107.0</f>
        <v>107.0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82.0</f>
        <v>82.0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20.0</f>
        <v>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475.0</f>
        <v>475.0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125.0</f>
        <v>125.0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50.0</f>
        <v>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4.0</f>
        <v>4.0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28</v>
      </c>
      <c r="F33" s="4" t="s">
        <v>29</v>
      </c>
      <c r="G33" s="4" t="s">
        <v>30</v>
      </c>
      <c r="H33" s="5" t="n">
        <f>7000.0</f>
        <v>7000.0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37</v>
      </c>
      <c r="F34" s="4" t="s">
        <v>38</v>
      </c>
      <c r="G34" s="4" t="s">
        <v>39</v>
      </c>
      <c r="H34" s="5" t="n">
        <f>5000.0</f>
        <v>5000.0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46</v>
      </c>
      <c r="F35" s="4" t="s">
        <v>47</v>
      </c>
      <c r="G35" s="4" t="s">
        <v>48</v>
      </c>
      <c r="H35" s="5" t="n">
        <f>4500.0</f>
        <v>4500.0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19</v>
      </c>
      <c r="F36" s="4" t="s">
        <v>20</v>
      </c>
      <c r="G36" s="4" t="s">
        <v>21</v>
      </c>
      <c r="H36" s="5" t="n">
        <f>3000.0</f>
        <v>3000.0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13</v>
      </c>
      <c r="F37" s="4" t="s">
        <v>14</v>
      </c>
      <c r="G37" s="4" t="s">
        <v>15</v>
      </c>
      <c r="H37" s="5" t="n">
        <f>1870.0</f>
        <v>1870.0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58</v>
      </c>
      <c r="F38" s="4" t="s">
        <v>59</v>
      </c>
      <c r="G38" s="4" t="s">
        <v>60</v>
      </c>
      <c r="H38" s="5" t="n">
        <f>1500.0</f>
        <v>1500.0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52</v>
      </c>
      <c r="F39" s="4" t="s">
        <v>53</v>
      </c>
      <c r="G39" s="4" t="s">
        <v>54</v>
      </c>
      <c r="H39" s="5" t="n">
        <f>1436.0</f>
        <v>1436.0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40</v>
      </c>
      <c r="F40" s="4" t="s">
        <v>41</v>
      </c>
      <c r="G40" s="4" t="s">
        <v>42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9.0</v>
      </c>
      <c r="E41" s="4" t="s">
        <v>67</v>
      </c>
      <c r="F41" s="4" t="s">
        <v>68</v>
      </c>
      <c r="G41" s="4" t="s">
        <v>69</v>
      </c>
      <c r="H41" s="5" t="n">
        <f>144.0</f>
        <v>144.0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29772.0</f>
        <v>29772.0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52</v>
      </c>
      <c r="F43" s="4" t="s">
        <v>53</v>
      </c>
      <c r="G43" s="4" t="s">
        <v>54</v>
      </c>
      <c r="H43" s="5" t="n">
        <f>12752.0</f>
        <v>12752.0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67</v>
      </c>
      <c r="F44" s="4" t="s">
        <v>68</v>
      </c>
      <c r="G44" s="4" t="s">
        <v>69</v>
      </c>
      <c r="H44" s="5" t="n">
        <f>3162.0</f>
        <v>3162.0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37</v>
      </c>
      <c r="F45" s="4" t="s">
        <v>38</v>
      </c>
      <c r="G45" s="4" t="s">
        <v>39</v>
      </c>
      <c r="H45" s="5" t="n">
        <f>76.0</f>
        <v>76.0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34</v>
      </c>
      <c r="F46" s="4" t="s">
        <v>35</v>
      </c>
      <c r="G46" s="4" t="s">
        <v>36</v>
      </c>
      <c r="H46" s="5" t="n">
        <f>70.0</f>
        <v>70.0</v>
      </c>
    </row>
    <row r="47">
      <c r="A47" s="3" t="s">
        <v>75</v>
      </c>
      <c r="B47" s="4" t="s">
        <v>78</v>
      </c>
      <c r="C47" s="4" t="s">
        <v>79</v>
      </c>
      <c r="D47" s="3" t="n">
        <v>6.0</v>
      </c>
      <c r="E47" s="4" t="s">
        <v>16</v>
      </c>
      <c r="F47" s="4" t="s">
        <v>17</v>
      </c>
      <c r="G47" s="4" t="s">
        <v>18</v>
      </c>
      <c r="H47" s="5" t="n">
        <f>52.0</f>
        <v>52.0</v>
      </c>
    </row>
    <row r="48">
      <c r="A48" s="3" t="s">
        <v>75</v>
      </c>
      <c r="B48" s="4" t="s">
        <v>78</v>
      </c>
      <c r="C48" s="4" t="s">
        <v>79</v>
      </c>
      <c r="D48" s="3" t="n">
        <v>7.0</v>
      </c>
      <c r="E48" s="4" t="s">
        <v>25</v>
      </c>
      <c r="F48" s="4" t="s">
        <v>26</v>
      </c>
      <c r="G48" s="4" t="s">
        <v>27</v>
      </c>
      <c r="H48" s="5" t="n">
        <f>24.0</f>
        <v>24.0</v>
      </c>
    </row>
    <row r="49">
      <c r="A49" s="3" t="s">
        <v>75</v>
      </c>
      <c r="B49" s="4" t="s">
        <v>78</v>
      </c>
      <c r="C49" s="4" t="s">
        <v>79</v>
      </c>
      <c r="D49" s="3" t="n">
        <v>8.0</v>
      </c>
      <c r="E49" s="4" t="s">
        <v>22</v>
      </c>
      <c r="F49" s="4" t="s">
        <v>23</v>
      </c>
      <c r="G49" s="4" t="s">
        <v>24</v>
      </c>
      <c r="H49" s="5" t="n">
        <f>16.0</f>
        <v>16.0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12.0</f>
        <v>12.0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67</v>
      </c>
      <c r="F51" s="4" t="s">
        <v>68</v>
      </c>
      <c r="G51" s="4" t="s">
        <v>69</v>
      </c>
      <c r="H51" s="5" t="n">
        <f>4.0</f>
        <v>4.0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25</v>
      </c>
      <c r="F52" s="4" t="s">
        <v>26</v>
      </c>
      <c r="G52" s="4" t="s">
        <v>27</v>
      </c>
      <c r="H52" s="5" t="n">
        <f>5138.0</f>
        <v>5138.0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22</v>
      </c>
      <c r="F53" s="4" t="s">
        <v>23</v>
      </c>
      <c r="G53" s="4" t="s">
        <v>24</v>
      </c>
      <c r="H53" s="5" t="n">
        <f>3070.0</f>
        <v>3070.0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16</v>
      </c>
      <c r="F54" s="4" t="s">
        <v>17</v>
      </c>
      <c r="G54" s="4" t="s">
        <v>18</v>
      </c>
      <c r="H54" s="5" t="n">
        <f>3048.0</f>
        <v>3048.0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85</v>
      </c>
      <c r="F55" s="4" t="s">
        <v>86</v>
      </c>
      <c r="G55" s="4" t="s">
        <v>87</v>
      </c>
      <c r="H55" s="5" t="n">
        <f>2071.0</f>
        <v>2071.0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40</v>
      </c>
      <c r="F56" s="4" t="s">
        <v>41</v>
      </c>
      <c r="G56" s="4" t="s">
        <v>42</v>
      </c>
      <c r="H56" s="5" t="n">
        <f>1690.0</f>
        <v>1690.0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49</v>
      </c>
      <c r="F57" s="4" t="s">
        <v>50</v>
      </c>
      <c r="G57" s="4" t="s">
        <v>51</v>
      </c>
      <c r="H57" s="5" t="n">
        <f>1190.0</f>
        <v>1190.0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34</v>
      </c>
      <c r="F58" s="4" t="s">
        <v>35</v>
      </c>
      <c r="G58" s="4" t="s">
        <v>36</v>
      </c>
      <c r="H58" s="5" t="n">
        <f>1136.0</f>
        <v>1136.0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19</v>
      </c>
      <c r="F59" s="4" t="s">
        <v>20</v>
      </c>
      <c r="G59" s="4" t="s">
        <v>21</v>
      </c>
      <c r="H59" s="5" t="n">
        <f>735.0</f>
        <v>735.0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43</v>
      </c>
      <c r="F60" s="4" t="s">
        <v>44</v>
      </c>
      <c r="G60" s="4" t="s">
        <v>45</v>
      </c>
      <c r="H60" s="5" t="n">
        <f>580.0</f>
        <v>580.0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64</v>
      </c>
      <c r="F61" s="4" t="s">
        <v>65</v>
      </c>
      <c r="G61" s="4" t="s">
        <v>66</v>
      </c>
      <c r="H61" s="5" t="n">
        <f>270.0</f>
        <v>270.0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13</v>
      </c>
      <c r="F62" s="4" t="s">
        <v>14</v>
      </c>
      <c r="G62" s="4" t="s">
        <v>15</v>
      </c>
      <c r="H62" s="5" t="n">
        <f>258.0</f>
        <v>258.0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31</v>
      </c>
      <c r="F63" s="4" t="s">
        <v>32</v>
      </c>
      <c r="G63" s="4" t="s">
        <v>33</v>
      </c>
      <c r="H63" s="5" t="n">
        <f>58.0</f>
        <v>58.0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37</v>
      </c>
      <c r="F64" s="4" t="s">
        <v>38</v>
      </c>
      <c r="G64" s="4" t="s">
        <v>39</v>
      </c>
      <c r="H64" s="5" t="n">
        <f>30.0</f>
        <v>30.0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61</v>
      </c>
      <c r="F65" s="4" t="s">
        <v>62</v>
      </c>
      <c r="G65" s="4" t="s">
        <v>63</v>
      </c>
      <c r="H65" s="5" t="n">
        <f>16.0</f>
        <v>16.0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55</v>
      </c>
      <c r="F66" s="4" t="s">
        <v>56</v>
      </c>
      <c r="G66" s="4" t="s">
        <v>57</v>
      </c>
      <c r="H66" s="5" t="n">
        <f>8.0</f>
        <v>8.0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67</v>
      </c>
      <c r="F67" s="4" t="s">
        <v>68</v>
      </c>
      <c r="G67" s="4" t="s">
        <v>69</v>
      </c>
      <c r="H67" s="5" t="n">
        <f>4.0</f>
        <v>4.0</v>
      </c>
    </row>
    <row r="68">
      <c r="A68" s="3" t="s">
        <v>88</v>
      </c>
      <c r="B68" s="4" t="s">
        <v>89</v>
      </c>
      <c r="C68" s="4" t="s">
        <v>90</v>
      </c>
      <c r="D68" s="3" t="n">
        <v>1.0</v>
      </c>
      <c r="E68" s="4" t="s">
        <v>31</v>
      </c>
      <c r="F68" s="4" t="s">
        <v>32</v>
      </c>
      <c r="G68" s="4" t="s">
        <v>33</v>
      </c>
      <c r="H68" s="5" t="n">
        <f>400.0</f>
        <v>400.0</v>
      </c>
    </row>
    <row r="69">
      <c r="A69" s="3" t="s">
        <v>88</v>
      </c>
      <c r="B69" s="4" t="s">
        <v>89</v>
      </c>
      <c r="C69" s="4" t="s">
        <v>90</v>
      </c>
      <c r="D69" s="3" t="n">
        <v>2.0</v>
      </c>
      <c r="E69" s="4" t="s">
        <v>49</v>
      </c>
      <c r="F69" s="4" t="s">
        <v>50</v>
      </c>
      <c r="G69" s="4" t="s">
        <v>51</v>
      </c>
      <c r="H69" s="5" t="n">
        <f>350.0</f>
        <v>350.0</v>
      </c>
    </row>
    <row r="70">
      <c r="A70" s="3" t="s">
        <v>88</v>
      </c>
      <c r="B70" s="4" t="s">
        <v>89</v>
      </c>
      <c r="C70" s="4" t="s">
        <v>90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350.0</f>
        <v>350.0</v>
      </c>
    </row>
    <row r="71">
      <c r="A71" s="3" t="s">
        <v>88</v>
      </c>
      <c r="B71" s="4" t="s">
        <v>89</v>
      </c>
      <c r="C71" s="4" t="s">
        <v>90</v>
      </c>
      <c r="D71" s="3" t="n">
        <v>4.0</v>
      </c>
      <c r="E71" s="4" t="s">
        <v>13</v>
      </c>
      <c r="F71" s="4" t="s">
        <v>14</v>
      </c>
      <c r="G71" s="4" t="s">
        <v>15</v>
      </c>
      <c r="H71" s="5" t="n">
        <f>14.0</f>
        <v>14.0</v>
      </c>
    </row>
    <row r="72">
      <c r="A72" s="3" t="s">
        <v>88</v>
      </c>
      <c r="B72" s="4" t="s">
        <v>91</v>
      </c>
      <c r="C72" s="4" t="s">
        <v>92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20.0</f>
        <v>20.0</v>
      </c>
    </row>
    <row r="73">
      <c r="A73" s="3" t="s">
        <v>88</v>
      </c>
      <c r="B73" s="4" t="s">
        <v>93</v>
      </c>
      <c r="C73" s="4" t="s">
        <v>94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18.0</f>
        <v>18.0</v>
      </c>
    </row>
    <row r="74">
      <c r="A74" s="3" t="s">
        <v>88</v>
      </c>
      <c r="B74" s="4" t="s">
        <v>95</v>
      </c>
      <c r="C74" s="4" t="s">
        <v>96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550.0</f>
        <v>550.0</v>
      </c>
    </row>
    <row r="75">
      <c r="A75" s="3" t="s">
        <v>88</v>
      </c>
      <c r="B75" s="4" t="s">
        <v>95</v>
      </c>
      <c r="C75" s="4" t="s">
        <v>96</v>
      </c>
      <c r="D75" s="3" t="n">
        <v>2.0</v>
      </c>
      <c r="E75" s="4" t="s">
        <v>61</v>
      </c>
      <c r="F75" s="4" t="s">
        <v>62</v>
      </c>
      <c r="G75" s="4" t="s">
        <v>63</v>
      </c>
      <c r="H75" s="5" t="n">
        <f>450.0</f>
        <v>450.0</v>
      </c>
    </row>
    <row r="76">
      <c r="A76" s="3" t="s">
        <v>88</v>
      </c>
      <c r="B76" s="4" t="s">
        <v>95</v>
      </c>
      <c r="C76" s="4" t="s">
        <v>96</v>
      </c>
      <c r="D76" s="3" t="n">
        <v>3.0</v>
      </c>
      <c r="E76" s="4" t="s">
        <v>31</v>
      </c>
      <c r="F76" s="4" t="s">
        <v>32</v>
      </c>
      <c r="G76" s="4" t="s">
        <v>33</v>
      </c>
      <c r="H76" s="5" t="n">
        <f>125.0</f>
        <v>125.0</v>
      </c>
    </row>
    <row r="77">
      <c r="A77" s="3" t="s">
        <v>88</v>
      </c>
      <c r="B77" s="4" t="s">
        <v>95</v>
      </c>
      <c r="C77" s="4" t="s">
        <v>96</v>
      </c>
      <c r="D77" s="3" t="n">
        <v>3.0</v>
      </c>
      <c r="E77" s="4" t="s">
        <v>34</v>
      </c>
      <c r="F77" s="4" t="s">
        <v>35</v>
      </c>
      <c r="G77" s="4" t="s">
        <v>36</v>
      </c>
      <c r="H77" s="5" t="n">
        <f>125.0</f>
        <v>125.0</v>
      </c>
    </row>
    <row r="78">
      <c r="A78" s="3" t="s">
        <v>88</v>
      </c>
      <c r="B78" s="4" t="s">
        <v>95</v>
      </c>
      <c r="C78" s="4" t="s">
        <v>96</v>
      </c>
      <c r="D78" s="3" t="n">
        <v>5.0</v>
      </c>
      <c r="E78" s="4" t="s">
        <v>43</v>
      </c>
      <c r="F78" s="4" t="s">
        <v>44</v>
      </c>
      <c r="G78" s="4" t="s">
        <v>45</v>
      </c>
      <c r="H78" s="5" t="n">
        <f>100.0</f>
        <v>100.0</v>
      </c>
    </row>
    <row r="79">
      <c r="A79" s="3" t="s">
        <v>88</v>
      </c>
      <c r="B79" s="4" t="s">
        <v>95</v>
      </c>
      <c r="C79" s="4" t="s">
        <v>96</v>
      </c>
      <c r="D79" s="3" t="n">
        <v>6.0</v>
      </c>
      <c r="E79" s="4" t="s">
        <v>13</v>
      </c>
      <c r="F79" s="4" t="s">
        <v>14</v>
      </c>
      <c r="G79" s="4" t="s">
        <v>15</v>
      </c>
      <c r="H79" s="5" t="n">
        <f>32.0</f>
        <v>32.0</v>
      </c>
    </row>
    <row r="80">
      <c r="A80" s="3" t="s">
        <v>88</v>
      </c>
      <c r="B80" s="4" t="s">
        <v>95</v>
      </c>
      <c r="C80" s="4" t="s">
        <v>96</v>
      </c>
      <c r="D80" s="3" t="n">
        <v>7.0</v>
      </c>
      <c r="E80" s="4" t="s">
        <v>52</v>
      </c>
      <c r="F80" s="4" t="s">
        <v>53</v>
      </c>
      <c r="G80" s="4" t="s">
        <v>54</v>
      </c>
      <c r="H80" s="5" t="n">
        <f>26.0</f>
        <v>26.0</v>
      </c>
    </row>
    <row r="81">
      <c r="A81" s="3" t="s">
        <v>88</v>
      </c>
      <c r="B81" s="4" t="s">
        <v>97</v>
      </c>
      <c r="C81" s="4" t="s">
        <v>98</v>
      </c>
      <c r="D81" s="3" t="n">
        <v>1.0</v>
      </c>
      <c r="E81" s="4" t="s">
        <v>43</v>
      </c>
      <c r="F81" s="4" t="s">
        <v>44</v>
      </c>
      <c r="G81" s="4" t="s">
        <v>45</v>
      </c>
      <c r="H81" s="5" t="n">
        <f>50.0</f>
        <v>50.0</v>
      </c>
    </row>
    <row r="82">
      <c r="A82" s="3" t="s">
        <v>88</v>
      </c>
      <c r="B82" s="4" t="s">
        <v>97</v>
      </c>
      <c r="C82" s="4" t="s">
        <v>98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50.0</f>
        <v>50.0</v>
      </c>
    </row>
    <row r="83">
      <c r="A83" s="3" t="s">
        <v>88</v>
      </c>
      <c r="B83" s="4" t="s">
        <v>99</v>
      </c>
      <c r="C83" s="4" t="s">
        <v>100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150.0</f>
        <v>150.0</v>
      </c>
    </row>
    <row r="84">
      <c r="A84" s="3" t="s">
        <v>88</v>
      </c>
      <c r="B84" s="4" t="s">
        <v>99</v>
      </c>
      <c r="C84" s="4" t="s">
        <v>100</v>
      </c>
      <c r="D84" s="3" t="n">
        <v>2.0</v>
      </c>
      <c r="E84" s="4" t="s">
        <v>61</v>
      </c>
      <c r="F84" s="4" t="s">
        <v>62</v>
      </c>
      <c r="G84" s="4" t="s">
        <v>63</v>
      </c>
      <c r="H84" s="5" t="n">
        <f>100.0</f>
        <v>100.0</v>
      </c>
    </row>
    <row r="85">
      <c r="A85" s="3" t="s">
        <v>88</v>
      </c>
      <c r="B85" s="4" t="s">
        <v>99</v>
      </c>
      <c r="C85" s="4" t="s">
        <v>100</v>
      </c>
      <c r="D85" s="3" t="n">
        <v>3.0</v>
      </c>
      <c r="E85" s="4" t="s">
        <v>43</v>
      </c>
      <c r="F85" s="4" t="s">
        <v>44</v>
      </c>
      <c r="G85" s="4" t="s">
        <v>45</v>
      </c>
      <c r="H85" s="5" t="n">
        <f>50.0</f>
        <v>50.0</v>
      </c>
    </row>
    <row r="86">
      <c r="A86" s="3" t="s">
        <v>88</v>
      </c>
      <c r="B86" s="4" t="s">
        <v>99</v>
      </c>
      <c r="C86" s="4" t="s">
        <v>100</v>
      </c>
      <c r="D86" s="3" t="n">
        <v>4.0</v>
      </c>
      <c r="E86" s="4" t="s">
        <v>13</v>
      </c>
      <c r="F86" s="4" t="s">
        <v>14</v>
      </c>
      <c r="G86" s="4" t="s">
        <v>15</v>
      </c>
      <c r="H86" s="5" t="n">
        <f>8.0</f>
        <v>8.0</v>
      </c>
    </row>
    <row r="87">
      <c r="A87" s="3" t="s">
        <v>88</v>
      </c>
      <c r="B87" s="4" t="s">
        <v>99</v>
      </c>
      <c r="C87" s="4" t="s">
        <v>100</v>
      </c>
      <c r="D87" s="3" t="n">
        <v>5.0</v>
      </c>
      <c r="E87" s="4" t="s">
        <v>52</v>
      </c>
      <c r="F87" s="4" t="s">
        <v>53</v>
      </c>
      <c r="G87" s="4" t="s">
        <v>54</v>
      </c>
      <c r="H87" s="5" t="n">
        <f>2.0</f>
        <v>2.0</v>
      </c>
    </row>
    <row r="88">
      <c r="A88" s="3" t="s">
        <v>88</v>
      </c>
      <c r="B88" s="4" t="s">
        <v>101</v>
      </c>
      <c r="C88" s="4" t="s">
        <v>102</v>
      </c>
      <c r="D88" s="3" t="n">
        <v>1.0</v>
      </c>
      <c r="E88" s="4" t="s">
        <v>43</v>
      </c>
      <c r="F88" s="4" t="s">
        <v>44</v>
      </c>
      <c r="G88" s="4" t="s">
        <v>45</v>
      </c>
      <c r="H88" s="5" t="n">
        <f>200.0</f>
        <v>200.0</v>
      </c>
    </row>
    <row r="89">
      <c r="A89" s="3" t="s">
        <v>88</v>
      </c>
      <c r="B89" s="4" t="s">
        <v>101</v>
      </c>
      <c r="C89" s="4" t="s">
        <v>102</v>
      </c>
      <c r="D89" s="3" t="n">
        <v>2.0</v>
      </c>
      <c r="E89" s="4" t="s">
        <v>49</v>
      </c>
      <c r="F89" s="4" t="s">
        <v>50</v>
      </c>
      <c r="G89" s="4" t="s">
        <v>51</v>
      </c>
      <c r="H89" s="5" t="n">
        <f>100.0</f>
        <v>100.0</v>
      </c>
    </row>
    <row r="90">
      <c r="A90" s="3" t="s">
        <v>88</v>
      </c>
      <c r="B90" s="4" t="s">
        <v>101</v>
      </c>
      <c r="C90" s="4" t="s">
        <v>102</v>
      </c>
      <c r="D90" s="3" t="n">
        <v>2.0</v>
      </c>
      <c r="E90" s="4" t="s">
        <v>31</v>
      </c>
      <c r="F90" s="4" t="s">
        <v>32</v>
      </c>
      <c r="G90" s="4" t="s">
        <v>33</v>
      </c>
      <c r="H90" s="5" t="n">
        <f>100.0</f>
        <v>100.0</v>
      </c>
    </row>
    <row r="91">
      <c r="A91" s="3" t="s">
        <v>88</v>
      </c>
      <c r="B91" s="4" t="s">
        <v>101</v>
      </c>
      <c r="C91" s="4" t="s">
        <v>102</v>
      </c>
      <c r="D91" s="3" t="n">
        <v>2.0</v>
      </c>
      <c r="E91" s="4" t="s">
        <v>19</v>
      </c>
      <c r="F91" s="4" t="s">
        <v>20</v>
      </c>
      <c r="G91" s="4" t="s">
        <v>21</v>
      </c>
      <c r="H91" s="5" t="n">
        <f>100.0</f>
        <v>100.0</v>
      </c>
    </row>
    <row r="92">
      <c r="A92" s="3" t="s">
        <v>88</v>
      </c>
      <c r="B92" s="4" t="s">
        <v>101</v>
      </c>
      <c r="C92" s="4" t="s">
        <v>102</v>
      </c>
      <c r="D92" s="3" t="n">
        <v>2.0</v>
      </c>
      <c r="E92" s="4" t="s">
        <v>34</v>
      </c>
      <c r="F92" s="4" t="s">
        <v>35</v>
      </c>
      <c r="G92" s="4" t="s">
        <v>36</v>
      </c>
      <c r="H92" s="5" t="n">
        <f>100.0</f>
        <v>100.0</v>
      </c>
    </row>
    <row r="93">
      <c r="A93" s="3" t="s">
        <v>88</v>
      </c>
      <c r="B93" s="4" t="s">
        <v>101</v>
      </c>
      <c r="C93" s="4" t="s">
        <v>102</v>
      </c>
      <c r="D93" s="3" t="n">
        <v>6.0</v>
      </c>
      <c r="E93" s="4" t="s">
        <v>52</v>
      </c>
      <c r="F93" s="4" t="s">
        <v>53</v>
      </c>
      <c r="G93" s="4" t="s">
        <v>54</v>
      </c>
      <c r="H93" s="5" t="n">
        <f>20.0</f>
        <v>20.0</v>
      </c>
    </row>
    <row r="94">
      <c r="A94" s="3" t="s">
        <v>88</v>
      </c>
      <c r="B94" s="4" t="s">
        <v>101</v>
      </c>
      <c r="C94" s="4" t="s">
        <v>102</v>
      </c>
      <c r="D94" s="3" t="n">
        <v>7.0</v>
      </c>
      <c r="E94" s="4" t="s">
        <v>13</v>
      </c>
      <c r="F94" s="4" t="s">
        <v>14</v>
      </c>
      <c r="G94" s="4" t="s">
        <v>15</v>
      </c>
      <c r="H94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