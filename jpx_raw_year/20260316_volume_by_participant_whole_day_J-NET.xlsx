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<sst xmlns="http://schemas.openxmlformats.org/spreadsheetml/2006/main" count="442" uniqueCount="107">
  <si>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</si>
  <si>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</si>
  <si>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</si>
  <si>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</si>
  <si>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</si>
  <si>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</si>
  <si>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</si>
  <si>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</si>
  <si>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</si>
  <si>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20260316</t>
  </si>
  <si>
    <t>NK225F</t>
  </si>
  <si>
    <t>161060018</t>
  </si>
  <si>
    <t>NIKKEI 225 FUT 2606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</si>
  <si>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</si>
  <si>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</si>
  <si>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</si>
  <si>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</si>
  <si>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</si>
  <si>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</si>
  <si>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</si>
  <si>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</si>
  <si>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</si>
  <si>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</si>
  <si>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</si>
  <si>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</si>
  <si>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</si>
  <si>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</si>
  <si>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</si>
  <si>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</si>
  <si>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</si>
  <si>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</si>
  <si>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</si>
  <si>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</si>
  <si>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</si>
  <si>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</si>
  <si>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</si>
  <si>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</si>
  <si>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</si>
  <si>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</si>
  <si>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</si>
  <si>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</si>
  <si>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</si>
  <si>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</si>
  <si>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</si>
  <si>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</si>
  <si>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</si>
  <si>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</si>
  <si>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</si>
  <si>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</si>
  <si>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</si>
  <si>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</si>
  <si>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</si>
  <si>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</si>
  <si>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</si>
  <si>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</si>
  <si>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</si>
  <si>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</si>
  <si>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</si>
  <si>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</si>
  <si>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</si>
  <si>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</si>
  <si>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</si>
  <si>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</si>
  <si>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</si>
  <si>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12000</t>
  </si>
  <si>
    <t>大和証券</t>
  </si>
  <si>
    <t>Daiwa Securities</t>
  </si>
  <si>
    <t>12176</t>
  </si>
  <si>
    <t>ドイツ証券</t>
  </si>
  <si>
    <t>Deutsche Securities</t>
  </si>
  <si>
    <t>12336</t>
  </si>
  <si>
    <t>日産証券</t>
  </si>
  <si>
    <t>Nissan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</si>
  <si>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</si>
  <si>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</si>
  <si>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</si>
  <si>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</si>
  <si>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</si>
  <si>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</si>
  <si>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</si>
  <si>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</si>
  <si>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</si>
  <si>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</si>
  <si>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</si>
  <si>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</si>
  <si>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12328</t>
  </si>
  <si>
    <t>ＳＭＢＣ日興証券</t>
  </si>
  <si>
    <t>SMBC Nikko Securities</t>
  </si>
  <si>
    <t>NK225E</t>
  </si>
  <si>
    <t>181163018</t>
  </si>
  <si>
    <t>NIKKEI 225 OOP P2604-53000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</si>
  <si>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</si>
  <si>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</si>
  <si>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</si>
  <si>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</si>
  <si>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</si>
  <si>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</si>
  <si>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181164018</t>
  </si>
  <si>
    <t>NIKKEI 225 OOP P2604-54000</t>
  </si>
  <si>
    <t>141044618</t>
  </si>
  <si>
    <t>NIKKEI 225 OOP C2604-54625</t>
  </si>
  <si>
    <t>141164218</t>
  </si>
  <si>
    <t>NIKKEI 225 OOP C2604-54250</t>
  </si>
  <si>
    <t>191164018</t>
  </si>
  <si>
    <t>NIKKEI 225 OOP C2604-54000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</si>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</sst>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2264.0</f>
        <v>2264.0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1890.0</f>
        <v>1890.0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1318.0</f>
        <v>1318.0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1102.0</f>
        <v>1102.0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965.0</f>
        <v>965.0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963.0</f>
        <v>963.0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915.0</f>
        <v>915.0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644.0</f>
        <v>644.0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607.0</f>
        <v>607.0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438.0</f>
        <v>438.0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408.0</f>
        <v>408.0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265.0</f>
        <v>265.0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155.0</f>
        <v>155.0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145.0</f>
        <v>145.0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95.0</f>
        <v>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88.0</f>
        <v>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55.0</f>
        <v>55.0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31.0</f>
        <v>31.0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12.0</f>
        <v>12.0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58</v>
      </c>
      <c r="F29" s="4" t="s">
        <v>59</v>
      </c>
      <c r="G29" s="4" t="s">
        <v>60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4656.0</f>
        <v>4656.0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40</v>
      </c>
      <c r="F33" s="4" t="s">
        <v>41</v>
      </c>
      <c r="G33" s="4" t="s">
        <v>42</v>
      </c>
      <c r="H33" s="5" t="n">
        <f>2164.0</f>
        <v>2164.0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61</v>
      </c>
      <c r="F34" s="4" t="s">
        <v>62</v>
      </c>
      <c r="G34" s="4" t="s">
        <v>63</v>
      </c>
      <c r="H34" s="5" t="n">
        <f>2000.0</f>
        <v>2000.0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16</v>
      </c>
      <c r="F35" s="4" t="s">
        <v>17</v>
      </c>
      <c r="G35" s="4" t="s">
        <v>18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58</v>
      </c>
      <c r="F36" s="4" t="s">
        <v>59</v>
      </c>
      <c r="G36" s="4" t="s">
        <v>60</v>
      </c>
      <c r="H36" s="5" t="n">
        <f>488.0</f>
        <v>488.0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61</v>
      </c>
      <c r="F37" s="4" t="s">
        <v>62</v>
      </c>
      <c r="G37" s="4" t="s">
        <v>63</v>
      </c>
      <c r="H37" s="5" t="n">
        <f>2000.0</f>
        <v>2000.0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2000.0</f>
        <v>2000.0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25</v>
      </c>
      <c r="F39" s="4" t="s">
        <v>26</v>
      </c>
      <c r="G39" s="4" t="s">
        <v>27</v>
      </c>
      <c r="H39" s="5" t="n">
        <f>106.0</f>
        <v>106.0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40</v>
      </c>
      <c r="F40" s="4" t="s">
        <v>41</v>
      </c>
      <c r="G40" s="4" t="s">
        <v>42</v>
      </c>
      <c r="H40" s="5" t="n">
        <f>70.0</f>
        <v>70.0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58</v>
      </c>
      <c r="F41" s="4" t="s">
        <v>59</v>
      </c>
      <c r="G41" s="4" t="s">
        <v>60</v>
      </c>
      <c r="H41" s="5" t="n">
        <f>8.0</f>
        <v>8.0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25</v>
      </c>
      <c r="F42" s="4" t="s">
        <v>26</v>
      </c>
      <c r="G42" s="4" t="s">
        <v>27</v>
      </c>
      <c r="H42" s="5" t="n">
        <f>48604.0</f>
        <v>48604.0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25322.0</f>
        <v>25322.0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58</v>
      </c>
      <c r="F44" s="4" t="s">
        <v>59</v>
      </c>
      <c r="G44" s="4" t="s">
        <v>60</v>
      </c>
      <c r="H44" s="5" t="n">
        <f>5394.0</f>
        <v>5394.0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31</v>
      </c>
      <c r="F45" s="4" t="s">
        <v>32</v>
      </c>
      <c r="G45" s="4" t="s">
        <v>33</v>
      </c>
      <c r="H45" s="5" t="n">
        <f>112.0</f>
        <v>112.0</v>
      </c>
    </row>
    <row r="46">
      <c r="A46" s="3" t="s">
        <v>75</v>
      </c>
      <c r="B46" s="4" t="s">
        <v>80</v>
      </c>
      <c r="C46" s="4" t="s">
        <v>81</v>
      </c>
      <c r="D46" s="3" t="n">
        <v>5.0</v>
      </c>
      <c r="E46" s="4" t="s">
        <v>22</v>
      </c>
      <c r="F46" s="4" t="s">
        <v>23</v>
      </c>
      <c r="G46" s="4" t="s">
        <v>24</v>
      </c>
      <c r="H46" s="5" t="n">
        <f>44.0</f>
        <v>44.0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61</v>
      </c>
      <c r="F47" s="4" t="s">
        <v>62</v>
      </c>
      <c r="G47" s="4" t="s">
        <v>63</v>
      </c>
      <c r="H47" s="5" t="n">
        <f>13.0</f>
        <v>13.0</v>
      </c>
    </row>
    <row r="48">
      <c r="A48" s="3" t="s">
        <v>75</v>
      </c>
      <c r="B48" s="4" t="s">
        <v>80</v>
      </c>
      <c r="C48" s="4" t="s">
        <v>81</v>
      </c>
      <c r="D48" s="3" t="n">
        <v>6.0</v>
      </c>
      <c r="E48" s="4" t="s">
        <v>13</v>
      </c>
      <c r="F48" s="4" t="s">
        <v>14</v>
      </c>
      <c r="G48" s="4" t="s">
        <v>15</v>
      </c>
      <c r="H48" s="5" t="n">
        <f>13.0</f>
        <v>13.0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4476.0</f>
        <v>4476.0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34</v>
      </c>
      <c r="F50" s="4" t="s">
        <v>35</v>
      </c>
      <c r="G50" s="4" t="s">
        <v>36</v>
      </c>
      <c r="H50" s="5" t="n">
        <f>1900.0</f>
        <v>1900.0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85</v>
      </c>
      <c r="F51" s="4" t="s">
        <v>86</v>
      </c>
      <c r="G51" s="4" t="s">
        <v>87</v>
      </c>
      <c r="H51" s="5" t="n">
        <f>1815.0</f>
        <v>1815.0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19</v>
      </c>
      <c r="F52" s="4" t="s">
        <v>20</v>
      </c>
      <c r="G52" s="4" t="s">
        <v>21</v>
      </c>
      <c r="H52" s="5" t="n">
        <f>1405.0</f>
        <v>1405.0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37</v>
      </c>
      <c r="F53" s="4" t="s">
        <v>38</v>
      </c>
      <c r="G53" s="4" t="s">
        <v>39</v>
      </c>
      <c r="H53" s="5" t="n">
        <f>1212.0</f>
        <v>1212.0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52</v>
      </c>
      <c r="F54" s="4" t="s">
        <v>53</v>
      </c>
      <c r="G54" s="4" t="s">
        <v>54</v>
      </c>
      <c r="H54" s="5" t="n">
        <f>450.0</f>
        <v>450.0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46</v>
      </c>
      <c r="F55" s="4" t="s">
        <v>47</v>
      </c>
      <c r="G55" s="4" t="s">
        <v>48</v>
      </c>
      <c r="H55" s="5" t="n">
        <f>445.0</f>
        <v>445.0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31</v>
      </c>
      <c r="F56" s="4" t="s">
        <v>32</v>
      </c>
      <c r="G56" s="4" t="s">
        <v>33</v>
      </c>
      <c r="H56" s="5" t="n">
        <f>384.0</f>
        <v>384.0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49</v>
      </c>
      <c r="F57" s="4" t="s">
        <v>50</v>
      </c>
      <c r="G57" s="4" t="s">
        <v>51</v>
      </c>
      <c r="H57" s="5" t="n">
        <f>163.0</f>
        <v>163.0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43</v>
      </c>
      <c r="F58" s="4" t="s">
        <v>44</v>
      </c>
      <c r="G58" s="4" t="s">
        <v>45</v>
      </c>
      <c r="H58" s="5" t="n">
        <f>159.0</f>
        <v>159.0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64</v>
      </c>
      <c r="F59" s="4" t="s">
        <v>65</v>
      </c>
      <c r="G59" s="4" t="s">
        <v>66</v>
      </c>
      <c r="H59" s="5" t="n">
        <f>124.0</f>
        <v>124.0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16</v>
      </c>
      <c r="F60" s="4" t="s">
        <v>17</v>
      </c>
      <c r="G60" s="4" t="s">
        <v>18</v>
      </c>
      <c r="H60" s="5" t="n">
        <f>115.0</f>
        <v>115.0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25</v>
      </c>
      <c r="F61" s="4" t="s">
        <v>26</v>
      </c>
      <c r="G61" s="4" t="s">
        <v>27</v>
      </c>
      <c r="H61" s="5" t="n">
        <f>106.0</f>
        <v>106.0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58</v>
      </c>
      <c r="F62" s="4" t="s">
        <v>59</v>
      </c>
      <c r="G62" s="4" t="s">
        <v>60</v>
      </c>
      <c r="H62" s="5" t="n">
        <f>34.0</f>
        <v>34.0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13</v>
      </c>
      <c r="F63" s="4" t="s">
        <v>14</v>
      </c>
      <c r="G63" s="4" t="s">
        <v>15</v>
      </c>
      <c r="H63" s="5" t="n">
        <f>20.0</f>
        <v>20.0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1000.0</f>
        <v>1000.0</v>
      </c>
    </row>
    <row r="65">
      <c r="A65" s="3" t="s">
        <v>88</v>
      </c>
      <c r="B65" s="4" t="s">
        <v>89</v>
      </c>
      <c r="C65" s="4" t="s">
        <v>90</v>
      </c>
      <c r="D65" s="3" t="n">
        <v>2.0</v>
      </c>
      <c r="E65" s="4" t="s">
        <v>46</v>
      </c>
      <c r="F65" s="4" t="s">
        <v>47</v>
      </c>
      <c r="G65" s="4" t="s">
        <v>48</v>
      </c>
      <c r="H65" s="5" t="n">
        <f>500.0</f>
        <v>500.0</v>
      </c>
    </row>
    <row r="66">
      <c r="A66" s="3" t="s">
        <v>88</v>
      </c>
      <c r="B66" s="4" t="s">
        <v>89</v>
      </c>
      <c r="C66" s="4" t="s">
        <v>90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500.0</f>
        <v>500.0</v>
      </c>
    </row>
    <row r="67">
      <c r="A67" s="3" t="s">
        <v>88</v>
      </c>
      <c r="B67" s="4" t="s">
        <v>89</v>
      </c>
      <c r="C67" s="4" t="s">
        <v>90</v>
      </c>
      <c r="D67" s="3" t="n">
        <v>4.0</v>
      </c>
      <c r="E67" s="4" t="s">
        <v>43</v>
      </c>
      <c r="F67" s="4" t="s">
        <v>44</v>
      </c>
      <c r="G67" s="4" t="s">
        <v>45</v>
      </c>
      <c r="H67" s="5" t="n">
        <f>375.0</f>
        <v>375.0</v>
      </c>
    </row>
    <row r="68">
      <c r="A68" s="3" t="s">
        <v>88</v>
      </c>
      <c r="B68" s="4" t="s">
        <v>89</v>
      </c>
      <c r="C68" s="4" t="s">
        <v>90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125.0</f>
        <v>125.0</v>
      </c>
    </row>
    <row r="69">
      <c r="A69" s="3" t="s">
        <v>88</v>
      </c>
      <c r="B69" s="4" t="s">
        <v>89</v>
      </c>
      <c r="C69" s="4" t="s">
        <v>90</v>
      </c>
      <c r="D69" s="3" t="n">
        <v>6.0</v>
      </c>
      <c r="E69" s="4" t="s">
        <v>25</v>
      </c>
      <c r="F69" s="4" t="s">
        <v>26</v>
      </c>
      <c r="G69" s="4" t="s">
        <v>27</v>
      </c>
      <c r="H69" s="5" t="n">
        <f>2.0</f>
        <v>2.0</v>
      </c>
    </row>
    <row r="70">
      <c r="A70" s="3" t="s">
        <v>88</v>
      </c>
      <c r="B70" s="4" t="s">
        <v>91</v>
      </c>
      <c r="C70" s="4" t="s">
        <v>92</v>
      </c>
      <c r="D70" s="3" t="n">
        <v>1.0</v>
      </c>
      <c r="E70" s="4" t="s">
        <v>52</v>
      </c>
      <c r="F70" s="4" t="s">
        <v>53</v>
      </c>
      <c r="G70" s="4" t="s">
        <v>54</v>
      </c>
      <c r="H70" s="5" t="n">
        <f>20.0</f>
        <v>20.0</v>
      </c>
    </row>
    <row r="71">
      <c r="A71" s="3" t="s">
        <v>88</v>
      </c>
      <c r="B71" s="4" t="s">
        <v>93</v>
      </c>
      <c r="C71" s="4" t="s">
        <v>94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4.0</f>
        <v>4.0</v>
      </c>
    </row>
    <row r="72">
      <c r="A72" s="3" t="s">
        <v>88</v>
      </c>
      <c r="B72" s="4" t="s">
        <v>95</v>
      </c>
      <c r="C72" s="4" t="s">
        <v>96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8.0</f>
        <v>8.0</v>
      </c>
    </row>
    <row r="73">
      <c r="A73" s="3" t="s">
        <v>88</v>
      </c>
      <c r="B73" s="4" t="s">
        <v>97</v>
      </c>
      <c r="C73" s="4" t="s">
        <v>98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2.0</f>
        <v>2.0</v>
      </c>
    </row>
    <row r="74">
      <c r="A74" s="3" t="s">
        <v>88</v>
      </c>
      <c r="B74" s="4" t="s">
        <v>99</v>
      </c>
      <c r="C74" s="4" t="s">
        <v>100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1016.0</f>
        <v>1016.0</v>
      </c>
    </row>
    <row r="75">
      <c r="A75" s="3" t="s">
        <v>88</v>
      </c>
      <c r="B75" s="4" t="s">
        <v>101</v>
      </c>
      <c r="C75" s="4" t="s">
        <v>102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4.0</f>
        <v>4.0</v>
      </c>
    </row>
    <row r="76">
      <c r="A76" s="3" t="s">
        <v>88</v>
      </c>
      <c r="B76" s="4" t="s">
        <v>103</v>
      </c>
      <c r="C76" s="4" t="s">
        <v>104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100.0</f>
        <v>100.0</v>
      </c>
    </row>
    <row r="77">
      <c r="A77" s="3" t="s">
        <v>88</v>
      </c>
      <c r="B77" s="4" t="s">
        <v>103</v>
      </c>
      <c r="C77" s="4" t="s">
        <v>104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88</v>
      </c>
      <c r="B78" s="4" t="s">
        <v>103</v>
      </c>
      <c r="C78" s="4" t="s">
        <v>104</v>
      </c>
      <c r="D78" s="3" t="n">
        <v>3.0</v>
      </c>
      <c r="E78" s="4" t="s">
        <v>25</v>
      </c>
      <c r="F78" s="4" t="s">
        <v>26</v>
      </c>
      <c r="G78" s="4" t="s">
        <v>27</v>
      </c>
      <c r="H78" s="5" t="n">
        <f>2.0</f>
        <v>2.0</v>
      </c>
    </row>
    <row r="79">
      <c r="A79" s="3" t="s">
        <v>88</v>
      </c>
      <c r="B79" s="4" t="s">
        <v>105</v>
      </c>
      <c r="C79" s="4" t="s">
        <v>106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4.0</f>
        <v>4.0</v>
      </c>
    </row>
    <row r="80">
      <c r="A80" s="3" t="s">
        <v>88</v>
      </c>
      <c r="B80" s="4" t="s">
        <v>105</v>
      </c>
      <c r="C80" s="4" t="s">
        <v>106</v>
      </c>
      <c r="D80" s="3" t="n">
        <v>2.0</v>
      </c>
      <c r="E80" s="4" t="s">
        <v>40</v>
      </c>
      <c r="F80" s="4" t="s">
        <v>41</v>
      </c>
      <c r="G80" s="4" t="s">
        <v>42</v>
      </c>
      <c r="H8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