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<sst xmlns="http://schemas.openxmlformats.org/spreadsheetml/2006/main" count="424" uniqueCount="97">
  <si>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</si>
  <si>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</si>
  <si>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</si>
  <si>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</si>
  <si>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</si>
  <si>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</si>
  <si>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</si>
  <si>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</si>
  <si>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</si>
  <si>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20260326</t>
  </si>
  <si>
    <t>NK225F</t>
  </si>
  <si>
    <t>161060018</t>
  </si>
  <si>
    <t>NIKKEI 225 FUT 2606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</si>
  <si>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</si>
  <si>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</si>
  <si>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</si>
  <si>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</si>
  <si>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</si>
  <si>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</si>
  <si>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</si>
  <si>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</si>
  <si>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</si>
  <si>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</si>
  <si>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</si>
  <si>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</si>
  <si>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</si>
  <si>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</si>
  <si>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</si>
  <si>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</si>
  <si>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</si>
  <si>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</si>
  <si>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</si>
  <si>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</si>
  <si>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</si>
  <si>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</si>
  <si>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</si>
  <si>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</si>
  <si>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</si>
  <si>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</si>
  <si>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</si>
  <si>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</si>
  <si>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</si>
  <si>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</si>
  <si>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</si>
  <si>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</si>
  <si>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</si>
  <si>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</si>
  <si>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</si>
  <si>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</si>
  <si>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</si>
  <si>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</si>
  <si>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</si>
  <si>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</si>
  <si>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</si>
  <si>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</si>
  <si>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</si>
  <si>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</si>
  <si>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</si>
  <si>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</si>
  <si>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</si>
  <si>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</si>
  <si>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</si>
  <si>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</si>
  <si>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</si>
  <si>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</si>
  <si>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</si>
  <si>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</si>
  <si>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12000</t>
  </si>
  <si>
    <t>大和証券</t>
  </si>
  <si>
    <t>Daiwa Securities</t>
  </si>
  <si>
    <t>12072</t>
  </si>
  <si>
    <t>東海東京証券</t>
  </si>
  <si>
    <t>Tokai Tokyo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</si>
  <si>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</si>
  <si>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</si>
  <si>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</si>
  <si>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</si>
  <si>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</si>
  <si>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</si>
  <si>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</si>
  <si>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</si>
  <si>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</si>
  <si>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</si>
  <si>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</si>
  <si>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</si>
  <si>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12176</t>
  </si>
  <si>
    <t>ドイツ証券</t>
  </si>
  <si>
    <t>Deutsche Securities</t>
  </si>
  <si>
    <t>161090005</t>
  </si>
  <si>
    <t>TOPIX FUT 2609</t>
  </si>
  <si>
    <t>NK225E</t>
  </si>
  <si>
    <t>181163018</t>
  </si>
  <si>
    <t>NIKKEI 225 OOP P2604-53000</t>
  </si>
  <si>
    <t>141164518</t>
  </si>
  <si>
    <t>NIKKEI 225 OOP C2604-54500</t>
  </si>
  <si>
    <t>191164018</t>
  </si>
  <si>
    <t>NIKKEI 225 OOP C2604-54000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</si>
</sst>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1102.0</f>
        <v>1102.0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960.0</f>
        <v>960.0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946.0</f>
        <v>946.0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934.0</f>
        <v>934.0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844.0</f>
        <v>844.0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779.0</f>
        <v>779.0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675.0</f>
        <v>675.0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499.0</f>
        <v>499.0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443.0</f>
        <v>443.0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392.0</f>
        <v>392.0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326.0</f>
        <v>326.0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288.0</f>
        <v>288.0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246.0</f>
        <v>246.0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186.0</f>
        <v>186.0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185.0</f>
        <v>185.0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87.0</f>
        <v>87.0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40.0</f>
        <v>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20.0</f>
        <v>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17.0</f>
        <v>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15.0</f>
        <v>15.0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4.0</f>
        <v>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61</v>
      </c>
      <c r="F30" s="4" t="s">
        <v>62</v>
      </c>
      <c r="G30" s="4" t="s">
        <v>63</v>
      </c>
      <c r="H30" s="5" t="n">
        <f>2.0</f>
        <v>2.0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28</v>
      </c>
      <c r="F31" s="4" t="s">
        <v>29</v>
      </c>
      <c r="G31" s="4" t="s">
        <v>30</v>
      </c>
      <c r="H31" s="5" t="n">
        <f>3688.0</f>
        <v>3688.0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43</v>
      </c>
      <c r="F32" s="4" t="s">
        <v>44</v>
      </c>
      <c r="G32" s="4" t="s">
        <v>45</v>
      </c>
      <c r="H32" s="5" t="n">
        <f>1824.0</f>
        <v>1824.0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13</v>
      </c>
      <c r="F33" s="4" t="s">
        <v>14</v>
      </c>
      <c r="G33" s="4" t="s">
        <v>15</v>
      </c>
      <c r="H33" s="5" t="n">
        <f>1700.0</f>
        <v>1700.0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19</v>
      </c>
      <c r="F34" s="4" t="s">
        <v>20</v>
      </c>
      <c r="G34" s="4" t="s">
        <v>21</v>
      </c>
      <c r="H34" s="5" t="n">
        <f>1200.0</f>
        <v>1200.0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52</v>
      </c>
      <c r="F35" s="4" t="s">
        <v>53</v>
      </c>
      <c r="G35" s="4" t="s">
        <v>54</v>
      </c>
      <c r="H35" s="5" t="n">
        <f>500.0</f>
        <v>500.0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61</v>
      </c>
      <c r="F36" s="4" t="s">
        <v>62</v>
      </c>
      <c r="G36" s="4" t="s">
        <v>63</v>
      </c>
      <c r="H36" s="5" t="n">
        <f>268.0</f>
        <v>268.0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28</v>
      </c>
      <c r="F37" s="4" t="s">
        <v>29</v>
      </c>
      <c r="G37" s="4" t="s">
        <v>30</v>
      </c>
      <c r="H37" s="5" t="n">
        <f>54.0</f>
        <v>54.0</v>
      </c>
    </row>
    <row r="38">
      <c r="A38" s="3" t="s">
        <v>75</v>
      </c>
      <c r="B38" s="4" t="s">
        <v>78</v>
      </c>
      <c r="C38" s="4" t="s">
        <v>79</v>
      </c>
      <c r="D38" s="3" t="n">
        <v>2.0</v>
      </c>
      <c r="E38" s="4" t="s">
        <v>61</v>
      </c>
      <c r="F38" s="4" t="s">
        <v>62</v>
      </c>
      <c r="G38" s="4" t="s">
        <v>63</v>
      </c>
      <c r="H38" s="5" t="n">
        <f>8.0</f>
        <v>8.0</v>
      </c>
    </row>
    <row r="39">
      <c r="A39" s="3" t="s">
        <v>75</v>
      </c>
      <c r="B39" s="4" t="s">
        <v>78</v>
      </c>
      <c r="C39" s="4" t="s">
        <v>79</v>
      </c>
      <c r="D39" s="3" t="n">
        <v>2.0</v>
      </c>
      <c r="E39" s="4" t="s">
        <v>43</v>
      </c>
      <c r="F39" s="4" t="s">
        <v>44</v>
      </c>
      <c r="G39" s="4" t="s">
        <v>45</v>
      </c>
      <c r="H39" s="5" t="n">
        <f>8.0</f>
        <v>8.0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28</v>
      </c>
      <c r="F40" s="4" t="s">
        <v>29</v>
      </c>
      <c r="G40" s="4" t="s">
        <v>30</v>
      </c>
      <c r="H40" s="5" t="n">
        <f>53264.0</f>
        <v>53264.0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43</v>
      </c>
      <c r="F41" s="4" t="s">
        <v>44</v>
      </c>
      <c r="G41" s="4" t="s">
        <v>45</v>
      </c>
      <c r="H41" s="5" t="n">
        <f>29464.0</f>
        <v>29464.0</v>
      </c>
    </row>
    <row r="42">
      <c r="A42" s="3" t="s">
        <v>75</v>
      </c>
      <c r="B42" s="4" t="s">
        <v>80</v>
      </c>
      <c r="C42" s="4" t="s">
        <v>81</v>
      </c>
      <c r="D42" s="3" t="n">
        <v>3.0</v>
      </c>
      <c r="E42" s="4" t="s">
        <v>61</v>
      </c>
      <c r="F42" s="4" t="s">
        <v>62</v>
      </c>
      <c r="G42" s="4" t="s">
        <v>63</v>
      </c>
      <c r="H42" s="5" t="n">
        <f>6006.0</f>
        <v>6006.0</v>
      </c>
    </row>
    <row r="43">
      <c r="A43" s="3" t="s">
        <v>75</v>
      </c>
      <c r="B43" s="4" t="s">
        <v>80</v>
      </c>
      <c r="C43" s="4" t="s">
        <v>81</v>
      </c>
      <c r="D43" s="3" t="n">
        <v>4.0</v>
      </c>
      <c r="E43" s="4" t="s">
        <v>22</v>
      </c>
      <c r="F43" s="4" t="s">
        <v>23</v>
      </c>
      <c r="G43" s="4" t="s">
        <v>24</v>
      </c>
      <c r="H43" s="5" t="n">
        <f>88.0</f>
        <v>88.0</v>
      </c>
    </row>
    <row r="44">
      <c r="A44" s="3" t="s">
        <v>75</v>
      </c>
      <c r="B44" s="4" t="s">
        <v>80</v>
      </c>
      <c r="C44" s="4" t="s">
        <v>81</v>
      </c>
      <c r="D44" s="3" t="n">
        <v>5.0</v>
      </c>
      <c r="E44" s="4" t="s">
        <v>16</v>
      </c>
      <c r="F44" s="4" t="s">
        <v>17</v>
      </c>
      <c r="G44" s="4" t="s">
        <v>18</v>
      </c>
      <c r="H44" s="5" t="n">
        <f>66.0</f>
        <v>66.0</v>
      </c>
    </row>
    <row r="45">
      <c r="A45" s="3" t="s">
        <v>75</v>
      </c>
      <c r="B45" s="4" t="s">
        <v>80</v>
      </c>
      <c r="C45" s="4" t="s">
        <v>81</v>
      </c>
      <c r="D45" s="3" t="n">
        <v>6.0</v>
      </c>
      <c r="E45" s="4" t="s">
        <v>58</v>
      </c>
      <c r="F45" s="4" t="s">
        <v>59</v>
      </c>
      <c r="G45" s="4" t="s">
        <v>60</v>
      </c>
      <c r="H45" s="5" t="n">
        <f>10.0</f>
        <v>10.0</v>
      </c>
    </row>
    <row r="46">
      <c r="A46" s="3" t="s">
        <v>75</v>
      </c>
      <c r="B46" s="4" t="s">
        <v>80</v>
      </c>
      <c r="C46" s="4" t="s">
        <v>81</v>
      </c>
      <c r="D46" s="3" t="n">
        <v>6.0</v>
      </c>
      <c r="E46" s="4" t="s">
        <v>70</v>
      </c>
      <c r="F46" s="4" t="s">
        <v>71</v>
      </c>
      <c r="G46" s="4" t="s">
        <v>72</v>
      </c>
      <c r="H46" s="5" t="n">
        <f>10.0</f>
        <v>10.0</v>
      </c>
    </row>
    <row r="47">
      <c r="A47" s="3" t="s">
        <v>75</v>
      </c>
      <c r="B47" s="4" t="s">
        <v>80</v>
      </c>
      <c r="C47" s="4" t="s">
        <v>81</v>
      </c>
      <c r="D47" s="3" t="n">
        <v>8.0</v>
      </c>
      <c r="E47" s="4" t="s">
        <v>13</v>
      </c>
      <c r="F47" s="4" t="s">
        <v>14</v>
      </c>
      <c r="G47" s="4" t="s">
        <v>15</v>
      </c>
      <c r="H47" s="5" t="n">
        <f>3.0</f>
        <v>3.0</v>
      </c>
    </row>
    <row r="48">
      <c r="A48" s="3" t="s">
        <v>75</v>
      </c>
      <c r="B48" s="4" t="s">
        <v>80</v>
      </c>
      <c r="C48" s="4" t="s">
        <v>81</v>
      </c>
      <c r="D48" s="3" t="n">
        <v>8.0</v>
      </c>
      <c r="E48" s="4" t="s">
        <v>19</v>
      </c>
      <c r="F48" s="4" t="s">
        <v>20</v>
      </c>
      <c r="G48" s="4" t="s">
        <v>21</v>
      </c>
      <c r="H48" s="5" t="n">
        <f>3.0</f>
        <v>3.0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22</v>
      </c>
      <c r="F49" s="4" t="s">
        <v>23</v>
      </c>
      <c r="G49" s="4" t="s">
        <v>24</v>
      </c>
      <c r="H49" s="5" t="n">
        <f>4559.0</f>
        <v>4559.0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2068.0</f>
        <v>2068.0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40</v>
      </c>
      <c r="F51" s="4" t="s">
        <v>41</v>
      </c>
      <c r="G51" s="4" t="s">
        <v>42</v>
      </c>
      <c r="H51" s="5" t="n">
        <f>1894.0</f>
        <v>1894.0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55</v>
      </c>
      <c r="F52" s="4" t="s">
        <v>56</v>
      </c>
      <c r="G52" s="4" t="s">
        <v>57</v>
      </c>
      <c r="H52" s="5" t="n">
        <f>1311.0</f>
        <v>1311.0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19</v>
      </c>
      <c r="F53" s="4" t="s">
        <v>20</v>
      </c>
      <c r="G53" s="4" t="s">
        <v>21</v>
      </c>
      <c r="H53" s="5" t="n">
        <f>903.0</f>
        <v>903.0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52</v>
      </c>
      <c r="F54" s="4" t="s">
        <v>53</v>
      </c>
      <c r="G54" s="4" t="s">
        <v>54</v>
      </c>
      <c r="H54" s="5" t="n">
        <f>629.0</f>
        <v>629.0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25</v>
      </c>
      <c r="F55" s="4" t="s">
        <v>26</v>
      </c>
      <c r="G55" s="4" t="s">
        <v>27</v>
      </c>
      <c r="H55" s="5" t="n">
        <f>534.0</f>
        <v>534.0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34</v>
      </c>
      <c r="F56" s="4" t="s">
        <v>35</v>
      </c>
      <c r="G56" s="4" t="s">
        <v>36</v>
      </c>
      <c r="H56" s="5" t="n">
        <f>450.0</f>
        <v>450.0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46</v>
      </c>
      <c r="F57" s="4" t="s">
        <v>47</v>
      </c>
      <c r="G57" s="4" t="s">
        <v>48</v>
      </c>
      <c r="H57" s="5" t="n">
        <f>440.0</f>
        <v>440.0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16</v>
      </c>
      <c r="F58" s="4" t="s">
        <v>17</v>
      </c>
      <c r="G58" s="4" t="s">
        <v>18</v>
      </c>
      <c r="H58" s="5" t="n">
        <f>423.0</f>
        <v>423.0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58</v>
      </c>
      <c r="F59" s="4" t="s">
        <v>59</v>
      </c>
      <c r="G59" s="4" t="s">
        <v>60</v>
      </c>
      <c r="H59" s="5" t="n">
        <f>320.0</f>
        <v>320.0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49</v>
      </c>
      <c r="F60" s="4" t="s">
        <v>50</v>
      </c>
      <c r="G60" s="4" t="s">
        <v>51</v>
      </c>
      <c r="H60" s="5" t="n">
        <f>254.0</f>
        <v>254.0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28</v>
      </c>
      <c r="F61" s="4" t="s">
        <v>29</v>
      </c>
      <c r="G61" s="4" t="s">
        <v>30</v>
      </c>
      <c r="H61" s="5" t="n">
        <f>202.0</f>
        <v>202.0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37</v>
      </c>
      <c r="F62" s="4" t="s">
        <v>38</v>
      </c>
      <c r="G62" s="4" t="s">
        <v>39</v>
      </c>
      <c r="H62" s="5" t="n">
        <f>157.0</f>
        <v>157.0</v>
      </c>
    </row>
    <row r="63">
      <c r="A63" s="3" t="s">
        <v>82</v>
      </c>
      <c r="B63" s="4" t="s">
        <v>83</v>
      </c>
      <c r="C63" s="4" t="s">
        <v>84</v>
      </c>
      <c r="D63" s="3" t="n">
        <v>15.0</v>
      </c>
      <c r="E63" s="4" t="s">
        <v>70</v>
      </c>
      <c r="F63" s="4" t="s">
        <v>71</v>
      </c>
      <c r="G63" s="4" t="s">
        <v>72</v>
      </c>
      <c r="H63" s="5" t="n">
        <f>138.0</f>
        <v>138.0</v>
      </c>
    </row>
    <row r="64">
      <c r="A64" s="3" t="s">
        <v>82</v>
      </c>
      <c r="B64" s="4" t="s">
        <v>83</v>
      </c>
      <c r="C64" s="4" t="s">
        <v>84</v>
      </c>
      <c r="D64" s="3" t="n">
        <v>16.0</v>
      </c>
      <c r="E64" s="4" t="s">
        <v>31</v>
      </c>
      <c r="F64" s="4" t="s">
        <v>32</v>
      </c>
      <c r="G64" s="4" t="s">
        <v>33</v>
      </c>
      <c r="H64" s="5" t="n">
        <f>72.0</f>
        <v>72.0</v>
      </c>
    </row>
    <row r="65">
      <c r="A65" s="3" t="s">
        <v>82</v>
      </c>
      <c r="B65" s="4" t="s">
        <v>83</v>
      </c>
      <c r="C65" s="4" t="s">
        <v>84</v>
      </c>
      <c r="D65" s="3" t="n">
        <v>17.0</v>
      </c>
      <c r="E65" s="4" t="s">
        <v>67</v>
      </c>
      <c r="F65" s="4" t="s">
        <v>68</v>
      </c>
      <c r="G65" s="4" t="s">
        <v>69</v>
      </c>
      <c r="H65" s="5" t="n">
        <f>16.0</f>
        <v>16.0</v>
      </c>
    </row>
    <row r="66">
      <c r="A66" s="3" t="s">
        <v>82</v>
      </c>
      <c r="B66" s="4" t="s">
        <v>83</v>
      </c>
      <c r="C66" s="4" t="s">
        <v>84</v>
      </c>
      <c r="D66" s="3" t="n">
        <v>17.0</v>
      </c>
      <c r="E66" s="4" t="s">
        <v>85</v>
      </c>
      <c r="F66" s="4" t="s">
        <v>86</v>
      </c>
      <c r="G66" s="4" t="s">
        <v>87</v>
      </c>
      <c r="H66" s="5" t="n">
        <f>16.0</f>
        <v>16.0</v>
      </c>
    </row>
    <row r="67">
      <c r="A67" s="3" t="s">
        <v>82</v>
      </c>
      <c r="B67" s="4" t="s">
        <v>83</v>
      </c>
      <c r="C67" s="4" t="s">
        <v>84</v>
      </c>
      <c r="D67" s="3" t="n">
        <v>19.0</v>
      </c>
      <c r="E67" s="4" t="s">
        <v>61</v>
      </c>
      <c r="F67" s="4" t="s">
        <v>62</v>
      </c>
      <c r="G67" s="4" t="s">
        <v>63</v>
      </c>
      <c r="H67" s="5" t="n">
        <f>2.0</f>
        <v>2.0</v>
      </c>
    </row>
    <row r="68">
      <c r="A68" s="3" t="s">
        <v>82</v>
      </c>
      <c r="B68" s="4" t="s">
        <v>88</v>
      </c>
      <c r="C68" s="4" t="s">
        <v>89</v>
      </c>
      <c r="D68" s="3" t="n">
        <v>1.0</v>
      </c>
      <c r="E68" s="4" t="s">
        <v>49</v>
      </c>
      <c r="F68" s="4" t="s">
        <v>50</v>
      </c>
      <c r="G68" s="4" t="s">
        <v>51</v>
      </c>
      <c r="H68" s="5" t="n">
        <f>100.0</f>
        <v>100.0</v>
      </c>
    </row>
    <row r="69">
      <c r="A69" s="3" t="s">
        <v>82</v>
      </c>
      <c r="B69" s="4" t="s">
        <v>88</v>
      </c>
      <c r="C69" s="4" t="s">
        <v>89</v>
      </c>
      <c r="D69" s="3" t="n">
        <v>1.0</v>
      </c>
      <c r="E69" s="4" t="s">
        <v>19</v>
      </c>
      <c r="F69" s="4" t="s">
        <v>20</v>
      </c>
      <c r="G69" s="4" t="s">
        <v>21</v>
      </c>
      <c r="H69" s="5" t="n">
        <f>100.0</f>
        <v>100.0</v>
      </c>
    </row>
    <row r="70">
      <c r="A70" s="3" t="s">
        <v>90</v>
      </c>
      <c r="B70" s="4" t="s">
        <v>91</v>
      </c>
      <c r="C70" s="4" t="s">
        <v>92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400.0</f>
        <v>400.0</v>
      </c>
    </row>
    <row r="71">
      <c r="A71" s="3" t="s">
        <v>90</v>
      </c>
      <c r="B71" s="4" t="s">
        <v>91</v>
      </c>
      <c r="C71" s="4" t="s">
        <v>92</v>
      </c>
      <c r="D71" s="3" t="n">
        <v>2.0</v>
      </c>
      <c r="E71" s="4" t="s">
        <v>46</v>
      </c>
      <c r="F71" s="4" t="s">
        <v>47</v>
      </c>
      <c r="G71" s="4" t="s">
        <v>48</v>
      </c>
      <c r="H71" s="5" t="n">
        <f>200.0</f>
        <v>200.0</v>
      </c>
    </row>
    <row r="72">
      <c r="A72" s="3" t="s">
        <v>90</v>
      </c>
      <c r="B72" s="4" t="s">
        <v>91</v>
      </c>
      <c r="C72" s="4" t="s">
        <v>92</v>
      </c>
      <c r="D72" s="3" t="n">
        <v>3.0</v>
      </c>
      <c r="E72" s="4" t="s">
        <v>40</v>
      </c>
      <c r="F72" s="4" t="s">
        <v>41</v>
      </c>
      <c r="G72" s="4" t="s">
        <v>42</v>
      </c>
      <c r="H72" s="5" t="n">
        <f>100.0</f>
        <v>100.0</v>
      </c>
    </row>
    <row r="73">
      <c r="A73" s="3" t="s">
        <v>90</v>
      </c>
      <c r="B73" s="4" t="s">
        <v>91</v>
      </c>
      <c r="C73" s="4" t="s">
        <v>92</v>
      </c>
      <c r="D73" s="3" t="n">
        <v>4.0</v>
      </c>
      <c r="E73" s="4" t="s">
        <v>28</v>
      </c>
      <c r="F73" s="4" t="s">
        <v>29</v>
      </c>
      <c r="G73" s="4" t="s">
        <v>30</v>
      </c>
      <c r="H73" s="5" t="n">
        <f>2.0</f>
        <v>2.0</v>
      </c>
    </row>
    <row r="74">
      <c r="A74" s="3" t="s">
        <v>90</v>
      </c>
      <c r="B74" s="4" t="s">
        <v>93</v>
      </c>
      <c r="C74" s="4" t="s">
        <v>94</v>
      </c>
      <c r="D74" s="3" t="n">
        <v>1.0</v>
      </c>
      <c r="E74" s="4" t="s">
        <v>43</v>
      </c>
      <c r="F74" s="4" t="s">
        <v>44</v>
      </c>
      <c r="G74" s="4" t="s">
        <v>45</v>
      </c>
      <c r="H74" s="5" t="n">
        <f>40.0</f>
        <v>40.0</v>
      </c>
    </row>
    <row r="75">
      <c r="A75" s="3" t="s">
        <v>90</v>
      </c>
      <c r="B75" s="4" t="s">
        <v>95</v>
      </c>
      <c r="C75" s="4" t="s">
        <v>96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150.0</f>
        <v>150.0</v>
      </c>
    </row>
    <row r="76">
      <c r="A76" s="3" t="s">
        <v>90</v>
      </c>
      <c r="B76" s="4" t="s">
        <v>95</v>
      </c>
      <c r="C76" s="4" t="s">
        <v>96</v>
      </c>
      <c r="D76" s="3" t="n">
        <v>1.0</v>
      </c>
      <c r="E76" s="4" t="s">
        <v>19</v>
      </c>
      <c r="F76" s="4" t="s">
        <v>20</v>
      </c>
      <c r="G76" s="4" t="s">
        <v>21</v>
      </c>
      <c r="H76" s="5" t="n">
        <f>150.0</f>
        <v>150.0</v>
      </c>
    </row>
    <row r="77">
      <c r="A77" s="3" t="s">
        <v>90</v>
      </c>
      <c r="B77" s="4" t="s">
        <v>95</v>
      </c>
      <c r="C77" s="4" t="s">
        <v>96</v>
      </c>
      <c r="D77" s="3" t="n">
        <v>3.0</v>
      </c>
      <c r="E77" s="4" t="s">
        <v>28</v>
      </c>
      <c r="F77" s="4" t="s">
        <v>29</v>
      </c>
      <c r="G77" s="4" t="s">
        <v>30</v>
      </c>
      <c r="H77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