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<sst xmlns="http://schemas.openxmlformats.org/spreadsheetml/2006/main" count="400" uniqueCount="100">
  <si>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</si>
  <si>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</si>
  <si>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</si>
  <si>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</si>
  <si>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</si>
  <si>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</si>
  <si>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</si>
  <si>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</si>
  <si>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</si>
  <si>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20260116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</si>
  <si>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</si>
  <si>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</si>
  <si>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</si>
  <si>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</si>
  <si>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</si>
  <si>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</si>
  <si>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</si>
  <si>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</si>
  <si>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</si>
  <si>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</si>
  <si>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</si>
  <si>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</si>
  <si>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</si>
  <si>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</si>
  <si>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</si>
  <si>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</si>
  <si>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</si>
  <si>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</si>
  <si>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</si>
  <si>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</si>
  <si>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</si>
  <si>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</si>
  <si>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</si>
  <si>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</si>
  <si>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</si>
  <si>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</si>
  <si>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</si>
  <si>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</si>
  <si>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</si>
  <si>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</si>
  <si>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</si>
  <si>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</si>
  <si>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</si>
  <si>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</si>
  <si>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</si>
  <si>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</si>
  <si>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</si>
  <si>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</si>
  <si>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</si>
  <si>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</si>
  <si>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</si>
  <si>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</si>
  <si>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</si>
  <si>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</si>
  <si>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</si>
  <si>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</si>
  <si>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</si>
  <si>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</si>
  <si>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</si>
  <si>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</si>
  <si>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</si>
  <si>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</si>
  <si>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</si>
  <si>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</si>
  <si>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</si>
  <si>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</si>
  <si>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</si>
  <si>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</si>
  <si>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</si>
  <si>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</si>
  <si>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</si>
  <si>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</si>
  <si>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</si>
  <si>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</si>
  <si>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</si>
  <si>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</si>
  <si>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</si>
  <si>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</si>
  <si>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</si>
  <si>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</si>
  <si>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</si>
  <si>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</si>
  <si>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</si>
  <si>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</si>
  <si>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</si>
  <si>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161060005</t>
  </si>
  <si>
    <t>TOPIX FUT 2606</t>
  </si>
  <si>
    <t>NK225E</t>
  </si>
  <si>
    <t>131143018</t>
  </si>
  <si>
    <t>NIKKEI 225 OOP P2602-53000</t>
  </si>
  <si>
    <t>131023118</t>
  </si>
  <si>
    <t>NIKKEI 225 OOP P2602-53125</t>
  </si>
  <si>
    <t>131143218</t>
  </si>
  <si>
    <t>NIKKEI 225 OOP P2602-53250</t>
  </si>
  <si>
    <t>181144018</t>
  </si>
  <si>
    <t>NIKKEI 225 OOP P2602-54000</t>
  </si>
  <si>
    <t>141144518</t>
  </si>
  <si>
    <t>NIKKEI 225 OOP C2602-54500</t>
  </si>
  <si>
    <t>191144018</t>
  </si>
  <si>
    <t>NIKKEI 225 OOP C2602-54000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</si>
</sst>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2000.0</f>
        <v>2000.0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1641.0</f>
        <v>1641.0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1085.0</f>
        <v>1085.0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1043.0</f>
        <v>1043.0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727.0</f>
        <v>727.0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632.0</f>
        <v>632.0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544.0</f>
        <v>544.0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485.0</f>
        <v>485.0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458.0</f>
        <v>458.0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400.0</f>
        <v>400.0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262.0</f>
        <v>262.0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204.0</f>
        <v>204.0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202.0</f>
        <v>202.0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94.0</f>
        <v>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75.0</f>
        <v>75.0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65.0</f>
        <v>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13.0</f>
        <v>13.0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4.0</f>
        <v>4.0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37</v>
      </c>
      <c r="F32" s="4" t="s">
        <v>38</v>
      </c>
      <c r="G32" s="4" t="s">
        <v>39</v>
      </c>
      <c r="H32" s="5" t="n">
        <f>1436.0</f>
        <v>1436.0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1142.0</f>
        <v>1142.0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61</v>
      </c>
      <c r="F35" s="4" t="s">
        <v>62</v>
      </c>
      <c r="G35" s="4" t="s">
        <v>63</v>
      </c>
      <c r="H35" s="5" t="n">
        <f>154.0</f>
        <v>154.0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37</v>
      </c>
      <c r="F36" s="4" t="s">
        <v>38</v>
      </c>
      <c r="G36" s="4" t="s">
        <v>39</v>
      </c>
      <c r="H36" s="5" t="n">
        <f>32866.0</f>
        <v>32866.0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43</v>
      </c>
      <c r="F37" s="4" t="s">
        <v>44</v>
      </c>
      <c r="G37" s="4" t="s">
        <v>45</v>
      </c>
      <c r="H37" s="5" t="n">
        <f>18314.0</f>
        <v>18314.0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5240.0</f>
        <v>5240.0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25</v>
      </c>
      <c r="F39" s="4" t="s">
        <v>26</v>
      </c>
      <c r="G39" s="4" t="s">
        <v>27</v>
      </c>
      <c r="H39" s="5" t="n">
        <f>328.0</f>
        <v>328.0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58</v>
      </c>
      <c r="F40" s="4" t="s">
        <v>59</v>
      </c>
      <c r="G40" s="4" t="s">
        <v>60</v>
      </c>
      <c r="H40" s="5" t="n">
        <f>298.0</f>
        <v>298.0</v>
      </c>
    </row>
    <row r="41">
      <c r="A41" s="3" t="s">
        <v>75</v>
      </c>
      <c r="B41" s="4" t="s">
        <v>78</v>
      </c>
      <c r="C41" s="4" t="s">
        <v>79</v>
      </c>
      <c r="D41" s="3" t="n">
        <v>6.0</v>
      </c>
      <c r="E41" s="4" t="s">
        <v>64</v>
      </c>
      <c r="F41" s="4" t="s">
        <v>65</v>
      </c>
      <c r="G41" s="4" t="s">
        <v>66</v>
      </c>
      <c r="H41" s="5" t="n">
        <f>29.0</f>
        <v>29.0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29.0</f>
        <v>29.0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37</v>
      </c>
      <c r="F43" s="4" t="s">
        <v>38</v>
      </c>
      <c r="G43" s="4" t="s">
        <v>39</v>
      </c>
      <c r="H43" s="5" t="n">
        <f>22.0</f>
        <v>22.0</v>
      </c>
    </row>
    <row r="44">
      <c r="A44" s="3" t="s">
        <v>75</v>
      </c>
      <c r="B44" s="4" t="s">
        <v>80</v>
      </c>
      <c r="C44" s="4" t="s">
        <v>81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8.0</f>
        <v>8.0</v>
      </c>
    </row>
    <row r="45">
      <c r="A45" s="3" t="s">
        <v>75</v>
      </c>
      <c r="B45" s="4" t="s">
        <v>80</v>
      </c>
      <c r="C45" s="4" t="s">
        <v>81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6.0</f>
        <v>6.0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40</v>
      </c>
      <c r="F46" s="4" t="s">
        <v>41</v>
      </c>
      <c r="G46" s="4" t="s">
        <v>42</v>
      </c>
      <c r="H46" s="5" t="n">
        <f>8886.0</f>
        <v>8886.0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46</v>
      </c>
      <c r="F47" s="4" t="s">
        <v>47</v>
      </c>
      <c r="G47" s="4" t="s">
        <v>48</v>
      </c>
      <c r="H47" s="5" t="n">
        <f>3620.0</f>
        <v>3620.0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58</v>
      </c>
      <c r="F48" s="4" t="s">
        <v>59</v>
      </c>
      <c r="G48" s="4" t="s">
        <v>60</v>
      </c>
      <c r="H48" s="5" t="n">
        <f>1374.0</f>
        <v>1374.0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55</v>
      </c>
      <c r="F49" s="4" t="s">
        <v>56</v>
      </c>
      <c r="G49" s="4" t="s">
        <v>57</v>
      </c>
      <c r="H49" s="5" t="n">
        <f>1152.0</f>
        <v>1152.0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31</v>
      </c>
      <c r="F50" s="4" t="s">
        <v>32</v>
      </c>
      <c r="G50" s="4" t="s">
        <v>33</v>
      </c>
      <c r="H50" s="5" t="n">
        <f>960.0</f>
        <v>960.0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49</v>
      </c>
      <c r="F51" s="4" t="s">
        <v>50</v>
      </c>
      <c r="G51" s="4" t="s">
        <v>51</v>
      </c>
      <c r="H51" s="5" t="n">
        <f>811.0</f>
        <v>811.0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19</v>
      </c>
      <c r="F52" s="4" t="s">
        <v>20</v>
      </c>
      <c r="G52" s="4" t="s">
        <v>21</v>
      </c>
      <c r="H52" s="5" t="n">
        <f>704.0</f>
        <v>704.0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25</v>
      </c>
      <c r="F53" s="4" t="s">
        <v>26</v>
      </c>
      <c r="G53" s="4" t="s">
        <v>27</v>
      </c>
      <c r="H53" s="5" t="n">
        <f>620.0</f>
        <v>620.0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22</v>
      </c>
      <c r="F54" s="4" t="s">
        <v>23</v>
      </c>
      <c r="G54" s="4" t="s">
        <v>24</v>
      </c>
      <c r="H54" s="5" t="n">
        <f>466.0</f>
        <v>466.0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52</v>
      </c>
      <c r="F55" s="4" t="s">
        <v>53</v>
      </c>
      <c r="G55" s="4" t="s">
        <v>54</v>
      </c>
      <c r="H55" s="5" t="n">
        <f>452.0</f>
        <v>452.0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28</v>
      </c>
      <c r="F56" s="4" t="s">
        <v>29</v>
      </c>
      <c r="G56" s="4" t="s">
        <v>30</v>
      </c>
      <c r="H56" s="5" t="n">
        <f>416.0</f>
        <v>416.0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13</v>
      </c>
      <c r="F57" s="4" t="s">
        <v>14</v>
      </c>
      <c r="G57" s="4" t="s">
        <v>15</v>
      </c>
      <c r="H57" s="5" t="n">
        <f>407.0</f>
        <v>407.0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16</v>
      </c>
      <c r="F58" s="4" t="s">
        <v>17</v>
      </c>
      <c r="G58" s="4" t="s">
        <v>18</v>
      </c>
      <c r="H58" s="5" t="n">
        <f>286.0</f>
        <v>286.0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37</v>
      </c>
      <c r="F59" s="4" t="s">
        <v>38</v>
      </c>
      <c r="G59" s="4" t="s">
        <v>39</v>
      </c>
      <c r="H59" s="5" t="n">
        <f>52.0</f>
        <v>52.0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61</v>
      </c>
      <c r="F60" s="4" t="s">
        <v>62</v>
      </c>
      <c r="G60" s="4" t="s">
        <v>63</v>
      </c>
      <c r="H60" s="5" t="n">
        <f>8.0</f>
        <v>8.0</v>
      </c>
    </row>
    <row r="61">
      <c r="A61" s="3" t="s">
        <v>82</v>
      </c>
      <c r="B61" s="4" t="s">
        <v>85</v>
      </c>
      <c r="C61" s="4" t="s">
        <v>86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450.0</f>
        <v>450.0</v>
      </c>
    </row>
    <row r="62">
      <c r="A62" s="3" t="s">
        <v>82</v>
      </c>
      <c r="B62" s="4" t="s">
        <v>85</v>
      </c>
      <c r="C62" s="4" t="s">
        <v>86</v>
      </c>
      <c r="D62" s="3" t="n">
        <v>2.0</v>
      </c>
      <c r="E62" s="4" t="s">
        <v>46</v>
      </c>
      <c r="F62" s="4" t="s">
        <v>47</v>
      </c>
      <c r="G62" s="4" t="s">
        <v>48</v>
      </c>
      <c r="H62" s="5" t="n">
        <f>250.0</f>
        <v>250.0</v>
      </c>
    </row>
    <row r="63">
      <c r="A63" s="3" t="s">
        <v>82</v>
      </c>
      <c r="B63" s="4" t="s">
        <v>85</v>
      </c>
      <c r="C63" s="4" t="s">
        <v>86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200.0</f>
        <v>200.0</v>
      </c>
    </row>
    <row r="64">
      <c r="A64" s="3" t="s">
        <v>87</v>
      </c>
      <c r="B64" s="4" t="s">
        <v>88</v>
      </c>
      <c r="C64" s="4" t="s">
        <v>89</v>
      </c>
      <c r="D64" s="3" t="n">
        <v>1.0</v>
      </c>
      <c r="E64" s="4" t="s">
        <v>52</v>
      </c>
      <c r="F64" s="4" t="s">
        <v>53</v>
      </c>
      <c r="G64" s="4" t="s">
        <v>54</v>
      </c>
      <c r="H64" s="5" t="n">
        <f>200.0</f>
        <v>200.0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200.0</f>
        <v>200.0</v>
      </c>
    </row>
    <row r="66">
      <c r="A66" s="3" t="s">
        <v>87</v>
      </c>
      <c r="B66" s="4" t="s">
        <v>90</v>
      </c>
      <c r="C66" s="4" t="s">
        <v>91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20.0</f>
        <v>20.0</v>
      </c>
    </row>
    <row r="67">
      <c r="A67" s="3" t="s">
        <v>87</v>
      </c>
      <c r="B67" s="4" t="s">
        <v>92</v>
      </c>
      <c r="C67" s="4" t="s">
        <v>93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20.0</f>
        <v>20.0</v>
      </c>
    </row>
    <row r="68">
      <c r="A68" s="3" t="s">
        <v>87</v>
      </c>
      <c r="B68" s="4" t="s">
        <v>92</v>
      </c>
      <c r="C68" s="4" t="s">
        <v>93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20.0</f>
        <v>20.0</v>
      </c>
    </row>
    <row r="69">
      <c r="A69" s="3" t="s">
        <v>87</v>
      </c>
      <c r="B69" s="4" t="s">
        <v>94</v>
      </c>
      <c r="C69" s="4" t="s">
        <v>95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100.0</f>
        <v>100.0</v>
      </c>
    </row>
    <row r="70">
      <c r="A70" s="3" t="s">
        <v>87</v>
      </c>
      <c r="B70" s="4" t="s">
        <v>94</v>
      </c>
      <c r="C70" s="4" t="s">
        <v>95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100.0</f>
        <v>100.0</v>
      </c>
    </row>
    <row r="71">
      <c r="A71" s="3" t="s">
        <v>87</v>
      </c>
      <c r="B71" s="4" t="s">
        <v>94</v>
      </c>
      <c r="C71" s="4" t="s">
        <v>95</v>
      </c>
      <c r="D71" s="3" t="n">
        <v>3.0</v>
      </c>
      <c r="E71" s="4" t="s">
        <v>37</v>
      </c>
      <c r="F71" s="4" t="s">
        <v>38</v>
      </c>
      <c r="G71" s="4" t="s">
        <v>39</v>
      </c>
      <c r="H71" s="5" t="n">
        <f>4.0</f>
        <v>4.0</v>
      </c>
    </row>
    <row r="72">
      <c r="A72" s="3" t="s">
        <v>87</v>
      </c>
      <c r="B72" s="4" t="s">
        <v>96</v>
      </c>
      <c r="C72" s="4" t="s">
        <v>97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2.0</f>
        <v>2.0</v>
      </c>
    </row>
    <row r="73">
      <c r="A73" s="3" t="s">
        <v>87</v>
      </c>
      <c r="B73" s="4" t="s">
        <v>98</v>
      </c>
      <c r="C73" s="4" t="s">
        <v>99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