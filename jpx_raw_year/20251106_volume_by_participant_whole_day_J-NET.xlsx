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<sst xmlns="http://schemas.openxmlformats.org/spreadsheetml/2006/main" count="484" uniqueCount="105">
  <si>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</si>
  <si>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</si>
  <si>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</si>
  <si>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</si>
  <si>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</si>
  <si>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</si>
  <si>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</si>
  <si>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</si>
  <si>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</si>
  <si>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20251106</t>
  </si>
  <si>
    <t>NK225F</t>
  </si>
  <si>
    <t>160120018</t>
  </si>
  <si>
    <t>NIKKEI 225 FUT 2512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</si>
  <si>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</si>
  <si>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</si>
  <si>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</si>
  <si>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</si>
  <si>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</si>
  <si>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</si>
  <si>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</si>
  <si>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</si>
  <si>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</si>
  <si>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</si>
  <si>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</si>
  <si>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</si>
  <si>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</si>
  <si>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</si>
  <si>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</si>
  <si>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</si>
  <si>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</si>
  <si>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</si>
  <si>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</si>
  <si>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</si>
  <si>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</si>
  <si>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</si>
  <si>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</si>
  <si>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</si>
  <si>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</si>
  <si>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</si>
  <si>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</si>
  <si>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</si>
  <si>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</si>
  <si>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</si>
  <si>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</si>
  <si>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</si>
  <si>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</si>
  <si>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</si>
  <si>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</si>
  <si>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</si>
  <si>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</si>
  <si>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</si>
  <si>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</si>
  <si>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</si>
  <si>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</si>
  <si>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</si>
  <si>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</si>
  <si>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</si>
  <si>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</si>
  <si>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</si>
  <si>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</si>
  <si>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</si>
  <si>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</si>
  <si>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</si>
  <si>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</si>
  <si>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</si>
  <si>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</si>
  <si>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</si>
  <si>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</si>
  <si>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</si>
  <si>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</si>
  <si>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</si>
  <si>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</si>
  <si>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</si>
  <si>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</si>
  <si>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</si>
  <si>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</si>
  <si>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</si>
  <si>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</si>
  <si>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</si>
  <si>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</si>
  <si>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</si>
  <si>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</si>
  <si>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</si>
  <si>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</si>
  <si>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</si>
  <si>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</si>
  <si>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</si>
  <si>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</si>
  <si>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NK225E</t>
  </si>
  <si>
    <t>130230018</t>
  </si>
  <si>
    <t>NIKKEI 225 OOP P2511-50000</t>
  </si>
  <si>
    <t>130230218</t>
  </si>
  <si>
    <t>NIKKEI 225 OOP P2511-50250</t>
  </si>
  <si>
    <t>130230518</t>
  </si>
  <si>
    <t>NIKKEI 225 OOP P2511-50500</t>
  </si>
  <si>
    <t>130230718</t>
  </si>
  <si>
    <t>NIKKEI 225 OOP P2511-50750</t>
  </si>
  <si>
    <t>130231018</t>
  </si>
  <si>
    <t>NIKKEI 225 OOP P2511-51000</t>
  </si>
  <si>
    <t>140231518</t>
  </si>
  <si>
    <t>NIKKEI 225 OOP C2511-51500</t>
  </si>
  <si>
    <t>140231218</t>
  </si>
  <si>
    <t>NIKKEI 225 OOP C2511-51250</t>
  </si>
  <si>
    <t>140231018</t>
  </si>
  <si>
    <t>NIKKEI 225 OOP C2511-51000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</si>
</sst>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3715.0</f>
        <v>3715.0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2561.0</f>
        <v>2561.0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1845.0</f>
        <v>1845.0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1517.0</f>
        <v>1517.0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780.0</f>
        <v>780.0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762.0</f>
        <v>762.0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564.0</f>
        <v>564.0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468.0</f>
        <v>468.0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463.0</f>
        <v>463.0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417.0</f>
        <v>417.0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414.0</f>
        <v>414.0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332.0</f>
        <v>332.0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250.0</f>
        <v>250.0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248.0</f>
        <v>248.0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170.0</f>
        <v>170.0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151.0</f>
        <v>151.0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126.0</f>
        <v>126.0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121.0</f>
        <v>121.0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98.0</f>
        <v>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89.0</f>
        <v>89.0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8.0</f>
        <v>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4028.0</f>
        <v>4028.0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52</v>
      </c>
      <c r="F32" s="4" t="s">
        <v>53</v>
      </c>
      <c r="G32" s="4" t="s">
        <v>54</v>
      </c>
      <c r="H32" s="5" t="n">
        <f>828.0</f>
        <v>828.0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67</v>
      </c>
      <c r="F33" s="4" t="s">
        <v>68</v>
      </c>
      <c r="G33" s="4" t="s">
        <v>69</v>
      </c>
      <c r="H33" s="5" t="n">
        <f>186.0</f>
        <v>186.0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45562.0</f>
        <v>45562.0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52</v>
      </c>
      <c r="F35" s="4" t="s">
        <v>53</v>
      </c>
      <c r="G35" s="4" t="s">
        <v>54</v>
      </c>
      <c r="H35" s="5" t="n">
        <f>27218.0</f>
        <v>27218.0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67</v>
      </c>
      <c r="F36" s="4" t="s">
        <v>68</v>
      </c>
      <c r="G36" s="4" t="s">
        <v>69</v>
      </c>
      <c r="H36" s="5" t="n">
        <f>6042.0</f>
        <v>6042.0</v>
      </c>
    </row>
    <row r="37">
      <c r="A37" s="3" t="s">
        <v>75</v>
      </c>
      <c r="B37" s="4" t="s">
        <v>78</v>
      </c>
      <c r="C37" s="4" t="s">
        <v>79</v>
      </c>
      <c r="D37" s="3" t="n">
        <v>4.0</v>
      </c>
      <c r="E37" s="4" t="s">
        <v>13</v>
      </c>
      <c r="F37" s="4" t="s">
        <v>14</v>
      </c>
      <c r="G37" s="4" t="s">
        <v>15</v>
      </c>
      <c r="H37" s="5" t="n">
        <f>140.0</f>
        <v>140.0</v>
      </c>
    </row>
    <row r="38">
      <c r="A38" s="3" t="s">
        <v>75</v>
      </c>
      <c r="B38" s="4" t="s">
        <v>78</v>
      </c>
      <c r="C38" s="4" t="s">
        <v>79</v>
      </c>
      <c r="D38" s="3" t="n">
        <v>5.0</v>
      </c>
      <c r="E38" s="4" t="s">
        <v>22</v>
      </c>
      <c r="F38" s="4" t="s">
        <v>23</v>
      </c>
      <c r="G38" s="4" t="s">
        <v>24</v>
      </c>
      <c r="H38" s="5" t="n">
        <f>38.0</f>
        <v>38.0</v>
      </c>
    </row>
    <row r="39">
      <c r="A39" s="3" t="s">
        <v>75</v>
      </c>
      <c r="B39" s="4" t="s">
        <v>78</v>
      </c>
      <c r="C39" s="4" t="s">
        <v>79</v>
      </c>
      <c r="D39" s="3" t="n">
        <v>6.0</v>
      </c>
      <c r="E39" s="4" t="s">
        <v>49</v>
      </c>
      <c r="F39" s="4" t="s">
        <v>50</v>
      </c>
      <c r="G39" s="4" t="s">
        <v>51</v>
      </c>
      <c r="H39" s="5" t="n">
        <f>10.0</f>
        <v>10.0</v>
      </c>
    </row>
    <row r="40">
      <c r="A40" s="3" t="s">
        <v>75</v>
      </c>
      <c r="B40" s="4" t="s">
        <v>78</v>
      </c>
      <c r="C40" s="4" t="s">
        <v>79</v>
      </c>
      <c r="D40" s="3" t="n">
        <v>6.0</v>
      </c>
      <c r="E40" s="4" t="s">
        <v>16</v>
      </c>
      <c r="F40" s="4" t="s">
        <v>17</v>
      </c>
      <c r="G40" s="4" t="s">
        <v>18</v>
      </c>
      <c r="H40" s="5" t="n">
        <f>10.0</f>
        <v>10.0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1500.0</f>
        <v>1500.0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34</v>
      </c>
      <c r="F42" s="4" t="s">
        <v>35</v>
      </c>
      <c r="G42" s="4" t="s">
        <v>36</v>
      </c>
      <c r="H42" s="5" t="n">
        <f>1500.0</f>
        <v>1500.0</v>
      </c>
    </row>
    <row r="43">
      <c r="A43" s="3" t="s">
        <v>75</v>
      </c>
      <c r="B43" s="4" t="s">
        <v>80</v>
      </c>
      <c r="C43" s="4" t="s">
        <v>81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34.0</f>
        <v>34.0</v>
      </c>
    </row>
    <row r="44">
      <c r="A44" s="3" t="s">
        <v>75</v>
      </c>
      <c r="B44" s="4" t="s">
        <v>80</v>
      </c>
      <c r="C44" s="4" t="s">
        <v>81</v>
      </c>
      <c r="D44" s="3" t="n">
        <v>4.0</v>
      </c>
      <c r="E44" s="4" t="s">
        <v>67</v>
      </c>
      <c r="F44" s="4" t="s">
        <v>68</v>
      </c>
      <c r="G44" s="4" t="s">
        <v>69</v>
      </c>
      <c r="H44" s="5" t="n">
        <f>18.0</f>
        <v>18.0</v>
      </c>
    </row>
    <row r="45">
      <c r="A45" s="3" t="s">
        <v>75</v>
      </c>
      <c r="B45" s="4" t="s">
        <v>80</v>
      </c>
      <c r="C45" s="4" t="s">
        <v>81</v>
      </c>
      <c r="D45" s="3" t="n">
        <v>5.0</v>
      </c>
      <c r="E45" s="4" t="s">
        <v>52</v>
      </c>
      <c r="F45" s="4" t="s">
        <v>53</v>
      </c>
      <c r="G45" s="4" t="s">
        <v>54</v>
      </c>
      <c r="H45" s="5" t="n">
        <f>12.0</f>
        <v>12.0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85</v>
      </c>
      <c r="F46" s="4" t="s">
        <v>86</v>
      </c>
      <c r="G46" s="4" t="s">
        <v>87</v>
      </c>
      <c r="H46" s="5" t="n">
        <f>3287.0</f>
        <v>3287.0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43</v>
      </c>
      <c r="F47" s="4" t="s">
        <v>44</v>
      </c>
      <c r="G47" s="4" t="s">
        <v>45</v>
      </c>
      <c r="H47" s="5" t="n">
        <f>2336.0</f>
        <v>2336.0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31</v>
      </c>
      <c r="F48" s="4" t="s">
        <v>32</v>
      </c>
      <c r="G48" s="4" t="s">
        <v>33</v>
      </c>
      <c r="H48" s="5" t="n">
        <f>1110.0</f>
        <v>1110.0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55</v>
      </c>
      <c r="F49" s="4" t="s">
        <v>56</v>
      </c>
      <c r="G49" s="4" t="s">
        <v>57</v>
      </c>
      <c r="H49" s="5" t="n">
        <f>1000.0</f>
        <v>1000.0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22</v>
      </c>
      <c r="F50" s="4" t="s">
        <v>23</v>
      </c>
      <c r="G50" s="4" t="s">
        <v>24</v>
      </c>
      <c r="H50" s="5" t="n">
        <f>768.0</f>
        <v>768.0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16</v>
      </c>
      <c r="F51" s="4" t="s">
        <v>17</v>
      </c>
      <c r="G51" s="4" t="s">
        <v>18</v>
      </c>
      <c r="H51" s="5" t="n">
        <f>629.0</f>
        <v>629.0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25</v>
      </c>
      <c r="F52" s="4" t="s">
        <v>26</v>
      </c>
      <c r="G52" s="4" t="s">
        <v>27</v>
      </c>
      <c r="H52" s="5" t="n">
        <f>247.0</f>
        <v>247.0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13</v>
      </c>
      <c r="F53" s="4" t="s">
        <v>14</v>
      </c>
      <c r="G53" s="4" t="s">
        <v>15</v>
      </c>
      <c r="H53" s="5" t="n">
        <f>230.0</f>
        <v>230.0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19</v>
      </c>
      <c r="F54" s="4" t="s">
        <v>20</v>
      </c>
      <c r="G54" s="4" t="s">
        <v>21</v>
      </c>
      <c r="H54" s="5" t="n">
        <f>158.0</f>
        <v>158.0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61</v>
      </c>
      <c r="F55" s="4" t="s">
        <v>62</v>
      </c>
      <c r="G55" s="4" t="s">
        <v>63</v>
      </c>
      <c r="H55" s="5" t="n">
        <f>121.0</f>
        <v>121.0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70</v>
      </c>
      <c r="F56" s="4" t="s">
        <v>71</v>
      </c>
      <c r="G56" s="4" t="s">
        <v>72</v>
      </c>
      <c r="H56" s="5" t="n">
        <f>100.0</f>
        <v>100.0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37</v>
      </c>
      <c r="F57" s="4" t="s">
        <v>38</v>
      </c>
      <c r="G57" s="4" t="s">
        <v>39</v>
      </c>
      <c r="H57" s="5" t="n">
        <f>52.0</f>
        <v>52.0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34</v>
      </c>
      <c r="F58" s="4" t="s">
        <v>35</v>
      </c>
      <c r="G58" s="4" t="s">
        <v>36</v>
      </c>
      <c r="H58" s="5" t="n">
        <f>40.0</f>
        <v>40.0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67</v>
      </c>
      <c r="F59" s="4" t="s">
        <v>68</v>
      </c>
      <c r="G59" s="4" t="s">
        <v>69</v>
      </c>
      <c r="H59" s="5" t="n">
        <f>6.0</f>
        <v>6.0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500.0</f>
        <v>500.0</v>
      </c>
    </row>
    <row r="61">
      <c r="A61" s="3" t="s">
        <v>88</v>
      </c>
      <c r="B61" s="4" t="s">
        <v>89</v>
      </c>
      <c r="C61" s="4" t="s">
        <v>90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500.0</f>
        <v>500.0</v>
      </c>
    </row>
    <row r="62">
      <c r="A62" s="3" t="s">
        <v>88</v>
      </c>
      <c r="B62" s="4" t="s">
        <v>89</v>
      </c>
      <c r="C62" s="4" t="s">
        <v>90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28.0</f>
        <v>28.0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100.0</f>
        <v>100.0</v>
      </c>
    </row>
    <row r="64">
      <c r="A64" s="3" t="s">
        <v>88</v>
      </c>
      <c r="B64" s="4" t="s">
        <v>91</v>
      </c>
      <c r="C64" s="4" t="s">
        <v>92</v>
      </c>
      <c r="D64" s="3" t="n">
        <v>1.0</v>
      </c>
      <c r="E64" s="4" t="s">
        <v>43</v>
      </c>
      <c r="F64" s="4" t="s">
        <v>44</v>
      </c>
      <c r="G64" s="4" t="s">
        <v>45</v>
      </c>
      <c r="H64" s="5" t="n">
        <f>100.0</f>
        <v>100.0</v>
      </c>
    </row>
    <row r="65">
      <c r="A65" s="3" t="s">
        <v>88</v>
      </c>
      <c r="B65" s="4" t="s">
        <v>93</v>
      </c>
      <c r="C65" s="4" t="s">
        <v>94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250.0</f>
        <v>250.0</v>
      </c>
    </row>
    <row r="66">
      <c r="A66" s="3" t="s">
        <v>88</v>
      </c>
      <c r="B66" s="4" t="s">
        <v>93</v>
      </c>
      <c r="C66" s="4" t="s">
        <v>94</v>
      </c>
      <c r="D66" s="3" t="n">
        <v>2.0</v>
      </c>
      <c r="E66" s="4" t="s">
        <v>22</v>
      </c>
      <c r="F66" s="4" t="s">
        <v>23</v>
      </c>
      <c r="G66" s="4" t="s">
        <v>24</v>
      </c>
      <c r="H66" s="5" t="n">
        <f>150.0</f>
        <v>150.0</v>
      </c>
    </row>
    <row r="67">
      <c r="A67" s="3" t="s">
        <v>88</v>
      </c>
      <c r="B67" s="4" t="s">
        <v>93</v>
      </c>
      <c r="C67" s="4" t="s">
        <v>94</v>
      </c>
      <c r="D67" s="3" t="n">
        <v>3.0</v>
      </c>
      <c r="E67" s="4" t="s">
        <v>46</v>
      </c>
      <c r="F67" s="4" t="s">
        <v>47</v>
      </c>
      <c r="G67" s="4" t="s">
        <v>48</v>
      </c>
      <c r="H67" s="5" t="n">
        <f>100.0</f>
        <v>100.0</v>
      </c>
    </row>
    <row r="68">
      <c r="A68" s="3" t="s">
        <v>88</v>
      </c>
      <c r="B68" s="4" t="s">
        <v>93</v>
      </c>
      <c r="C68" s="4" t="s">
        <v>94</v>
      </c>
      <c r="D68" s="3" t="n">
        <v>4.0</v>
      </c>
      <c r="E68" s="4" t="s">
        <v>19</v>
      </c>
      <c r="F68" s="4" t="s">
        <v>20</v>
      </c>
      <c r="G68" s="4" t="s">
        <v>21</v>
      </c>
      <c r="H68" s="5" t="n">
        <f>2.0</f>
        <v>2.0</v>
      </c>
    </row>
    <row r="69">
      <c r="A69" s="3" t="s">
        <v>88</v>
      </c>
      <c r="B69" s="4" t="s">
        <v>95</v>
      </c>
      <c r="C69" s="4" t="s">
        <v>96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2.0</f>
        <v>2.0</v>
      </c>
    </row>
    <row r="70">
      <c r="A70" s="3" t="s">
        <v>88</v>
      </c>
      <c r="B70" s="4" t="s">
        <v>97</v>
      </c>
      <c r="C70" s="4" t="s">
        <v>98</v>
      </c>
      <c r="D70" s="3" t="n">
        <v>1.0</v>
      </c>
      <c r="E70" s="4" t="s">
        <v>43</v>
      </c>
      <c r="F70" s="4" t="s">
        <v>44</v>
      </c>
      <c r="G70" s="4" t="s">
        <v>45</v>
      </c>
      <c r="H70" s="5" t="n">
        <f>500.0</f>
        <v>500.0</v>
      </c>
    </row>
    <row r="71">
      <c r="A71" s="3" t="s">
        <v>88</v>
      </c>
      <c r="B71" s="4" t="s">
        <v>97</v>
      </c>
      <c r="C71" s="4" t="s">
        <v>98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350.0</f>
        <v>350.0</v>
      </c>
    </row>
    <row r="72">
      <c r="A72" s="3" t="s">
        <v>88</v>
      </c>
      <c r="B72" s="4" t="s">
        <v>97</v>
      </c>
      <c r="C72" s="4" t="s">
        <v>98</v>
      </c>
      <c r="D72" s="3" t="n">
        <v>3.0</v>
      </c>
      <c r="E72" s="4" t="s">
        <v>46</v>
      </c>
      <c r="F72" s="4" t="s">
        <v>47</v>
      </c>
      <c r="G72" s="4" t="s">
        <v>48</v>
      </c>
      <c r="H72" s="5" t="n">
        <f>248.0</f>
        <v>248.0</v>
      </c>
    </row>
    <row r="73">
      <c r="A73" s="3" t="s">
        <v>88</v>
      </c>
      <c r="B73" s="4" t="s">
        <v>97</v>
      </c>
      <c r="C73" s="4" t="s">
        <v>98</v>
      </c>
      <c r="D73" s="3" t="n">
        <v>4.0</v>
      </c>
      <c r="E73" s="4" t="s">
        <v>22</v>
      </c>
      <c r="F73" s="4" t="s">
        <v>23</v>
      </c>
      <c r="G73" s="4" t="s">
        <v>24</v>
      </c>
      <c r="H73" s="5" t="n">
        <f>150.0</f>
        <v>150.0</v>
      </c>
    </row>
    <row r="74">
      <c r="A74" s="3" t="s">
        <v>88</v>
      </c>
      <c r="B74" s="4" t="s">
        <v>97</v>
      </c>
      <c r="C74" s="4" t="s">
        <v>98</v>
      </c>
      <c r="D74" s="3" t="n">
        <v>5.0</v>
      </c>
      <c r="E74" s="4" t="s">
        <v>34</v>
      </c>
      <c r="F74" s="4" t="s">
        <v>35</v>
      </c>
      <c r="G74" s="4" t="s">
        <v>36</v>
      </c>
      <c r="H74" s="5" t="n">
        <f>48.0</f>
        <v>48.0</v>
      </c>
    </row>
    <row r="75">
      <c r="A75" s="3" t="s">
        <v>88</v>
      </c>
      <c r="B75" s="4" t="s">
        <v>97</v>
      </c>
      <c r="C75" s="4" t="s">
        <v>98</v>
      </c>
      <c r="D75" s="3" t="n">
        <v>6.0</v>
      </c>
      <c r="E75" s="4" t="s">
        <v>19</v>
      </c>
      <c r="F75" s="4" t="s">
        <v>20</v>
      </c>
      <c r="G75" s="4" t="s">
        <v>21</v>
      </c>
      <c r="H75" s="5" t="n">
        <f>8.0</f>
        <v>8.0</v>
      </c>
    </row>
    <row r="76">
      <c r="A76" s="3" t="s">
        <v>88</v>
      </c>
      <c r="B76" s="4" t="s">
        <v>99</v>
      </c>
      <c r="C76" s="4" t="s">
        <v>100</v>
      </c>
      <c r="D76" s="3" t="n">
        <v>1.0</v>
      </c>
      <c r="E76" s="4" t="s">
        <v>34</v>
      </c>
      <c r="F76" s="4" t="s">
        <v>35</v>
      </c>
      <c r="G76" s="4" t="s">
        <v>36</v>
      </c>
      <c r="H76" s="5" t="n">
        <f>750.0</f>
        <v>750.0</v>
      </c>
    </row>
    <row r="77">
      <c r="A77" s="3" t="s">
        <v>88</v>
      </c>
      <c r="B77" s="4" t="s">
        <v>99</v>
      </c>
      <c r="C77" s="4" t="s">
        <v>100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150.0</f>
        <v>150.0</v>
      </c>
    </row>
    <row r="78">
      <c r="A78" s="3" t="s">
        <v>88</v>
      </c>
      <c r="B78" s="4" t="s">
        <v>99</v>
      </c>
      <c r="C78" s="4" t="s">
        <v>100</v>
      </c>
      <c r="D78" s="3" t="n">
        <v>3.0</v>
      </c>
      <c r="E78" s="4" t="s">
        <v>19</v>
      </c>
      <c r="F78" s="4" t="s">
        <v>20</v>
      </c>
      <c r="G78" s="4" t="s">
        <v>21</v>
      </c>
      <c r="H78" s="5" t="n">
        <f>38.0</f>
        <v>38.0</v>
      </c>
    </row>
    <row r="79">
      <c r="A79" s="3" t="s">
        <v>88</v>
      </c>
      <c r="B79" s="4" t="s">
        <v>101</v>
      </c>
      <c r="C79" s="4" t="s">
        <v>102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200.0</f>
        <v>200.0</v>
      </c>
    </row>
    <row r="80">
      <c r="A80" s="3" t="s">
        <v>88</v>
      </c>
      <c r="B80" s="4" t="s">
        <v>101</v>
      </c>
      <c r="C80" s="4" t="s">
        <v>102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200.0</f>
        <v>200.0</v>
      </c>
    </row>
    <row r="81">
      <c r="A81" s="3" t="s">
        <v>88</v>
      </c>
      <c r="B81" s="4" t="s">
        <v>101</v>
      </c>
      <c r="C81" s="4" t="s">
        <v>102</v>
      </c>
      <c r="D81" s="3" t="n">
        <v>3.0</v>
      </c>
      <c r="E81" s="4" t="s">
        <v>19</v>
      </c>
      <c r="F81" s="4" t="s">
        <v>20</v>
      </c>
      <c r="G81" s="4" t="s">
        <v>21</v>
      </c>
      <c r="H81" s="5" t="n">
        <f>2.0</f>
        <v>2.0</v>
      </c>
    </row>
    <row r="82">
      <c r="A82" s="3" t="s">
        <v>88</v>
      </c>
      <c r="B82" s="4" t="s">
        <v>103</v>
      </c>
      <c r="C82" s="4" t="s">
        <v>104</v>
      </c>
      <c r="D82" s="3" t="n">
        <v>1.0</v>
      </c>
      <c r="E82" s="4" t="s">
        <v>34</v>
      </c>
      <c r="F82" s="4" t="s">
        <v>35</v>
      </c>
      <c r="G82" s="4" t="s">
        <v>36</v>
      </c>
      <c r="H82" s="5" t="n">
        <f>175.0</f>
        <v>175.0</v>
      </c>
    </row>
    <row r="83">
      <c r="A83" s="3" t="s">
        <v>88</v>
      </c>
      <c r="B83" s="4" t="s">
        <v>103</v>
      </c>
      <c r="C83" s="4" t="s">
        <v>104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175.0</f>
        <v>175.0</v>
      </c>
    </row>
    <row r="84">
      <c r="A84" s="3" t="s">
        <v>88</v>
      </c>
      <c r="B84" s="4" t="s">
        <v>103</v>
      </c>
      <c r="C84" s="4" t="s">
        <v>104</v>
      </c>
      <c r="D84" s="3" t="n">
        <v>3.0</v>
      </c>
      <c r="E84" s="4" t="s">
        <v>22</v>
      </c>
      <c r="F84" s="4" t="s">
        <v>23</v>
      </c>
      <c r="G84" s="4" t="s">
        <v>24</v>
      </c>
      <c r="H84" s="5" t="n">
        <f>150.0</f>
        <v>150.0</v>
      </c>
    </row>
    <row r="85">
      <c r="A85" s="3" t="s">
        <v>88</v>
      </c>
      <c r="B85" s="4" t="s">
        <v>103</v>
      </c>
      <c r="C85" s="4" t="s">
        <v>104</v>
      </c>
      <c r="D85" s="3" t="n">
        <v>4.0</v>
      </c>
      <c r="E85" s="4" t="s">
        <v>43</v>
      </c>
      <c r="F85" s="4" t="s">
        <v>44</v>
      </c>
      <c r="G85" s="4" t="s">
        <v>45</v>
      </c>
      <c r="H85" s="5" t="n">
        <f>125.0</f>
        <v>125.0</v>
      </c>
    </row>
    <row r="86">
      <c r="A86" s="3" t="s">
        <v>88</v>
      </c>
      <c r="B86" s="4" t="s">
        <v>103</v>
      </c>
      <c r="C86" s="4" t="s">
        <v>104</v>
      </c>
      <c r="D86" s="3" t="n">
        <v>5.0</v>
      </c>
      <c r="E86" s="4" t="s">
        <v>19</v>
      </c>
      <c r="F86" s="4" t="s">
        <v>20</v>
      </c>
      <c r="G86" s="4" t="s">
        <v>21</v>
      </c>
      <c r="H86" s="5" t="n">
        <f>36.0</f>
        <v>36.0</v>
      </c>
    </row>
    <row r="87">
      <c r="A87" s="3" t="s">
        <v>88</v>
      </c>
      <c r="B87" s="4" t="s">
        <v>103</v>
      </c>
      <c r="C87" s="4" t="s">
        <v>104</v>
      </c>
      <c r="D87" s="3" t="n">
        <v>6.0</v>
      </c>
      <c r="E87" s="4" t="s">
        <v>31</v>
      </c>
      <c r="F87" s="4" t="s">
        <v>32</v>
      </c>
      <c r="G87" s="4" t="s">
        <v>33</v>
      </c>
      <c r="H87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