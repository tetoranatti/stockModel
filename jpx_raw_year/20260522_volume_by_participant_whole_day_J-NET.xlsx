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<sst xmlns="http://schemas.openxmlformats.org/spreadsheetml/2006/main" count="508" uniqueCount="100">
  <si>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</si>
  <si>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</si>
  <si>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</si>
  <si>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</si>
  <si>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</si>
  <si>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</si>
  <si>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</si>
  <si>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</si>
  <si>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</si>
  <si>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20260522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</si>
  <si>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</si>
  <si>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</si>
  <si>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</si>
  <si>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</si>
  <si>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</si>
  <si>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</si>
  <si>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</si>
  <si>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</si>
  <si>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</si>
  <si>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</si>
  <si>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</si>
  <si>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</si>
  <si>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</si>
  <si>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</si>
  <si>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</si>
  <si>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</si>
  <si>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</si>
  <si>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</si>
  <si>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</si>
  <si>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</si>
  <si>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</si>
  <si>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</si>
  <si>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</si>
  <si>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</si>
  <si>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</si>
  <si>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</si>
  <si>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</si>
  <si>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</si>
  <si>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</si>
  <si>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</si>
  <si>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</si>
  <si>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</si>
  <si>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</si>
  <si>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</si>
  <si>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</si>
  <si>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</si>
  <si>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</si>
  <si>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</si>
  <si>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</si>
  <si>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</si>
  <si>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</si>
  <si>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</si>
  <si>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</si>
  <si>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</si>
  <si>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</si>
  <si>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</si>
  <si>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</si>
  <si>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</si>
  <si>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</si>
  <si>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</si>
  <si>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</si>
  <si>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</si>
  <si>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</si>
  <si>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</si>
  <si>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</si>
  <si>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</si>
  <si>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</si>
  <si>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</si>
  <si>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</si>
  <si>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</si>
  <si>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</si>
  <si>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</si>
  <si>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</si>
  <si>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</si>
  <si>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</si>
  <si>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</si>
  <si>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</si>
  <si>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</si>
  <si>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</si>
  <si>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</si>
  <si>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</si>
  <si>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</si>
  <si>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</si>
  <si>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</si>
  <si>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</si>
  <si>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</si>
  <si>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</si>
  <si>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</si>
  <si>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181182518</t>
  </si>
  <si>
    <t>NIKKEI 225 OOP P2606-62500</t>
  </si>
  <si>
    <t>181303018</t>
  </si>
  <si>
    <t>NIKKEI 225 OOP P2606-63000</t>
  </si>
  <si>
    <t>181303518</t>
  </si>
  <si>
    <t>NIKKEI 225 OOP P2606-63500</t>
  </si>
  <si>
    <t>191304218</t>
  </si>
  <si>
    <t>NIKKEI 225 OOP C2606-64250</t>
  </si>
  <si>
    <t>191304018</t>
  </si>
  <si>
    <t>NIKKEI 225 OOP C2606-64000</t>
  </si>
  <si>
    <t>191303518</t>
  </si>
  <si>
    <t>NIKKEI 225 OOP C2606-63500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</si>
</sst>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3670.0</f>
        <v>3670.0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3447.0</f>
        <v>3447.0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2166.0</f>
        <v>2166.0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1840.0</f>
        <v>1840.0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1498.0</f>
        <v>1498.0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1452.0</f>
        <v>1452.0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1381.0</f>
        <v>1381.0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1046.0</f>
        <v>1046.0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963.0</f>
        <v>963.0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856.0</f>
        <v>856.0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486.0</f>
        <v>486.0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479.0</f>
        <v>479.0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388.0</f>
        <v>388.0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278.0</f>
        <v>278.0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226.0</f>
        <v>226.0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170.0</f>
        <v>170.0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151.0</f>
        <v>151.0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136.0</f>
        <v>136.0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34.0</f>
        <v>34.0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600.0</f>
        <v>600.0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400.0</f>
        <v>400.0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400.0</f>
        <v>400.0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67.0</f>
        <v>67.0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34</v>
      </c>
      <c r="F34" s="4" t="s">
        <v>35</v>
      </c>
      <c r="G34" s="4" t="s">
        <v>36</v>
      </c>
      <c r="H34" s="5" t="n">
        <f>67.0</f>
        <v>67.0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40.0</f>
        <v>40.0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34.0</f>
        <v>34.0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16.0</f>
        <v>16.0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37</v>
      </c>
      <c r="F38" s="4" t="s">
        <v>38</v>
      </c>
      <c r="G38" s="4" t="s">
        <v>39</v>
      </c>
      <c r="H38" s="5" t="n">
        <f>46864.0</f>
        <v>46864.0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49</v>
      </c>
      <c r="F39" s="4" t="s">
        <v>50</v>
      </c>
      <c r="G39" s="4" t="s">
        <v>51</v>
      </c>
      <c r="H39" s="5" t="n">
        <f>25894.0</f>
        <v>25894.0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67</v>
      </c>
      <c r="F40" s="4" t="s">
        <v>68</v>
      </c>
      <c r="G40" s="4" t="s">
        <v>69</v>
      </c>
      <c r="H40" s="5" t="n">
        <f>6612.0</f>
        <v>6612.0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13</v>
      </c>
      <c r="F41" s="4" t="s">
        <v>14</v>
      </c>
      <c r="G41" s="4" t="s">
        <v>15</v>
      </c>
      <c r="H41" s="5" t="n">
        <f>148.0</f>
        <v>148.0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16</v>
      </c>
      <c r="F42" s="4" t="s">
        <v>17</v>
      </c>
      <c r="G42" s="4" t="s">
        <v>18</v>
      </c>
      <c r="H42" s="5" t="n">
        <f>132.0</f>
        <v>132.0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46</v>
      </c>
      <c r="F43" s="4" t="s">
        <v>47</v>
      </c>
      <c r="G43" s="4" t="s">
        <v>48</v>
      </c>
      <c r="H43" s="5" t="n">
        <f>131.0</f>
        <v>131.0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25</v>
      </c>
      <c r="F44" s="4" t="s">
        <v>26</v>
      </c>
      <c r="G44" s="4" t="s">
        <v>27</v>
      </c>
      <c r="H44" s="5" t="n">
        <f>90.0</f>
        <v>90.0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70</v>
      </c>
      <c r="F45" s="4" t="s">
        <v>71</v>
      </c>
      <c r="G45" s="4" t="s">
        <v>72</v>
      </c>
      <c r="H45" s="5" t="n">
        <f>38.0</f>
        <v>38.0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55</v>
      </c>
      <c r="F46" s="4" t="s">
        <v>56</v>
      </c>
      <c r="G46" s="4" t="s">
        <v>57</v>
      </c>
      <c r="H46" s="5" t="n">
        <f>38.0</f>
        <v>38.0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31</v>
      </c>
      <c r="F47" s="4" t="s">
        <v>32</v>
      </c>
      <c r="G47" s="4" t="s">
        <v>33</v>
      </c>
      <c r="H47" s="5" t="n">
        <f>1.0</f>
        <v>1.0</v>
      </c>
    </row>
    <row r="48">
      <c r="A48" s="3" t="s">
        <v>75</v>
      </c>
      <c r="B48" s="4" t="s">
        <v>78</v>
      </c>
      <c r="C48" s="4" t="s">
        <v>79</v>
      </c>
      <c r="D48" s="3" t="n">
        <v>1.0</v>
      </c>
      <c r="E48" s="4" t="s">
        <v>37</v>
      </c>
      <c r="F48" s="4" t="s">
        <v>38</v>
      </c>
      <c r="G48" s="4" t="s">
        <v>39</v>
      </c>
      <c r="H48" s="5" t="n">
        <f>184.0</f>
        <v>184.0</v>
      </c>
    </row>
    <row r="49">
      <c r="A49" s="3" t="s">
        <v>75</v>
      </c>
      <c r="B49" s="4" t="s">
        <v>78</v>
      </c>
      <c r="C49" s="4" t="s">
        <v>79</v>
      </c>
      <c r="D49" s="3" t="n">
        <v>2.0</v>
      </c>
      <c r="E49" s="4" t="s">
        <v>49</v>
      </c>
      <c r="F49" s="4" t="s">
        <v>50</v>
      </c>
      <c r="G49" s="4" t="s">
        <v>51</v>
      </c>
      <c r="H49" s="5" t="n">
        <f>66.0</f>
        <v>66.0</v>
      </c>
    </row>
    <row r="50">
      <c r="A50" s="3" t="s">
        <v>75</v>
      </c>
      <c r="B50" s="4" t="s">
        <v>78</v>
      </c>
      <c r="C50" s="4" t="s">
        <v>79</v>
      </c>
      <c r="D50" s="3" t="n">
        <v>3.0</v>
      </c>
      <c r="E50" s="4" t="s">
        <v>67</v>
      </c>
      <c r="F50" s="4" t="s">
        <v>68</v>
      </c>
      <c r="G50" s="4" t="s">
        <v>69</v>
      </c>
      <c r="H50" s="5" t="n">
        <f>50.0</f>
        <v>50.0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67</v>
      </c>
      <c r="F51" s="4" t="s">
        <v>68</v>
      </c>
      <c r="G51" s="4" t="s">
        <v>69</v>
      </c>
      <c r="H51" s="5" t="n">
        <f>18.0</f>
        <v>18.0</v>
      </c>
    </row>
    <row r="52">
      <c r="A52" s="3" t="s">
        <v>75</v>
      </c>
      <c r="B52" s="4" t="s">
        <v>80</v>
      </c>
      <c r="C52" s="4" t="s">
        <v>81</v>
      </c>
      <c r="D52" s="3" t="n">
        <v>2.0</v>
      </c>
      <c r="E52" s="4" t="s">
        <v>37</v>
      </c>
      <c r="F52" s="4" t="s">
        <v>38</v>
      </c>
      <c r="G52" s="4" t="s">
        <v>39</v>
      </c>
      <c r="H52" s="5" t="n">
        <f>14.0</f>
        <v>14.0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49</v>
      </c>
      <c r="F53" s="4" t="s">
        <v>50</v>
      </c>
      <c r="G53" s="4" t="s">
        <v>51</v>
      </c>
      <c r="H53" s="5" t="n">
        <f>12.0</f>
        <v>12.0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22</v>
      </c>
      <c r="F54" s="4" t="s">
        <v>23</v>
      </c>
      <c r="G54" s="4" t="s">
        <v>24</v>
      </c>
      <c r="H54" s="5" t="n">
        <f>3381.0</f>
        <v>3381.0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25</v>
      </c>
      <c r="F55" s="4" t="s">
        <v>26</v>
      </c>
      <c r="G55" s="4" t="s">
        <v>27</v>
      </c>
      <c r="H55" s="5" t="n">
        <f>3123.0</f>
        <v>3123.0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19</v>
      </c>
      <c r="F56" s="4" t="s">
        <v>20</v>
      </c>
      <c r="G56" s="4" t="s">
        <v>21</v>
      </c>
      <c r="H56" s="5" t="n">
        <f>1977.0</f>
        <v>1977.0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34</v>
      </c>
      <c r="F57" s="4" t="s">
        <v>35</v>
      </c>
      <c r="G57" s="4" t="s">
        <v>36</v>
      </c>
      <c r="H57" s="5" t="n">
        <f>1037.0</f>
        <v>1037.0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16</v>
      </c>
      <c r="F58" s="4" t="s">
        <v>17</v>
      </c>
      <c r="G58" s="4" t="s">
        <v>18</v>
      </c>
      <c r="H58" s="5" t="n">
        <f>834.0</f>
        <v>834.0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37</v>
      </c>
      <c r="F59" s="4" t="s">
        <v>38</v>
      </c>
      <c r="G59" s="4" t="s">
        <v>39</v>
      </c>
      <c r="H59" s="5" t="n">
        <f>626.0</f>
        <v>626.0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13</v>
      </c>
      <c r="F60" s="4" t="s">
        <v>14</v>
      </c>
      <c r="G60" s="4" t="s">
        <v>15</v>
      </c>
      <c r="H60" s="5" t="n">
        <f>574.0</f>
        <v>574.0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31</v>
      </c>
      <c r="F61" s="4" t="s">
        <v>32</v>
      </c>
      <c r="G61" s="4" t="s">
        <v>33</v>
      </c>
      <c r="H61" s="5" t="n">
        <f>550.0</f>
        <v>550.0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58</v>
      </c>
      <c r="F62" s="4" t="s">
        <v>59</v>
      </c>
      <c r="G62" s="4" t="s">
        <v>60</v>
      </c>
      <c r="H62" s="5" t="n">
        <f>468.0</f>
        <v>468.0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64</v>
      </c>
      <c r="F63" s="4" t="s">
        <v>65</v>
      </c>
      <c r="G63" s="4" t="s">
        <v>66</v>
      </c>
      <c r="H63" s="5" t="n">
        <f>424.0</f>
        <v>424.0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43</v>
      </c>
      <c r="F64" s="4" t="s">
        <v>44</v>
      </c>
      <c r="G64" s="4" t="s">
        <v>45</v>
      </c>
      <c r="H64" s="5" t="n">
        <f>354.0</f>
        <v>354.0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28</v>
      </c>
      <c r="F65" s="4" t="s">
        <v>29</v>
      </c>
      <c r="G65" s="4" t="s">
        <v>30</v>
      </c>
      <c r="H65" s="5" t="n">
        <f>264.0</f>
        <v>264.0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46</v>
      </c>
      <c r="F66" s="4" t="s">
        <v>47</v>
      </c>
      <c r="G66" s="4" t="s">
        <v>48</v>
      </c>
      <c r="H66" s="5" t="n">
        <f>206.0</f>
        <v>206.0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52</v>
      </c>
      <c r="F67" s="4" t="s">
        <v>53</v>
      </c>
      <c r="G67" s="4" t="s">
        <v>54</v>
      </c>
      <c r="H67" s="5" t="n">
        <f>61.0</f>
        <v>61.0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40</v>
      </c>
      <c r="F68" s="4" t="s">
        <v>41</v>
      </c>
      <c r="G68" s="4" t="s">
        <v>42</v>
      </c>
      <c r="H68" s="5" t="n">
        <f>35.0</f>
        <v>35.0</v>
      </c>
    </row>
    <row r="69">
      <c r="A69" s="3" t="s">
        <v>82</v>
      </c>
      <c r="B69" s="4" t="s">
        <v>83</v>
      </c>
      <c r="C69" s="4" t="s">
        <v>84</v>
      </c>
      <c r="D69" s="3" t="n">
        <v>16.0</v>
      </c>
      <c r="E69" s="4" t="s">
        <v>67</v>
      </c>
      <c r="F69" s="4" t="s">
        <v>68</v>
      </c>
      <c r="G69" s="4" t="s">
        <v>69</v>
      </c>
      <c r="H69" s="5" t="n">
        <f>8.0</f>
        <v>8.0</v>
      </c>
    </row>
    <row r="70">
      <c r="A70" s="3" t="s">
        <v>82</v>
      </c>
      <c r="B70" s="4" t="s">
        <v>85</v>
      </c>
      <c r="C70" s="4" t="s">
        <v>86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2150.0</f>
        <v>2150.0</v>
      </c>
    </row>
    <row r="71">
      <c r="A71" s="3" t="s">
        <v>82</v>
      </c>
      <c r="B71" s="4" t="s">
        <v>85</v>
      </c>
      <c r="C71" s="4" t="s">
        <v>86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850.0</f>
        <v>850.0</v>
      </c>
    </row>
    <row r="72">
      <c r="A72" s="3" t="s">
        <v>82</v>
      </c>
      <c r="B72" s="4" t="s">
        <v>85</v>
      </c>
      <c r="C72" s="4" t="s">
        <v>86</v>
      </c>
      <c r="D72" s="3" t="n">
        <v>3.0</v>
      </c>
      <c r="E72" s="4" t="s">
        <v>34</v>
      </c>
      <c r="F72" s="4" t="s">
        <v>35</v>
      </c>
      <c r="G72" s="4" t="s">
        <v>36</v>
      </c>
      <c r="H72" s="5" t="n">
        <f>800.0</f>
        <v>800.0</v>
      </c>
    </row>
    <row r="73">
      <c r="A73" s="3" t="s">
        <v>82</v>
      </c>
      <c r="B73" s="4" t="s">
        <v>85</v>
      </c>
      <c r="C73" s="4" t="s">
        <v>86</v>
      </c>
      <c r="D73" s="3" t="n">
        <v>4.0</v>
      </c>
      <c r="E73" s="4" t="s">
        <v>16</v>
      </c>
      <c r="F73" s="4" t="s">
        <v>17</v>
      </c>
      <c r="G73" s="4" t="s">
        <v>18</v>
      </c>
      <c r="H73" s="5" t="n">
        <f>300.0</f>
        <v>300.0</v>
      </c>
    </row>
    <row r="74">
      <c r="A74" s="3" t="s">
        <v>82</v>
      </c>
      <c r="B74" s="4" t="s">
        <v>85</v>
      </c>
      <c r="C74" s="4" t="s">
        <v>86</v>
      </c>
      <c r="D74" s="3" t="n">
        <v>5.0</v>
      </c>
      <c r="E74" s="4" t="s">
        <v>13</v>
      </c>
      <c r="F74" s="4" t="s">
        <v>14</v>
      </c>
      <c r="G74" s="4" t="s">
        <v>15</v>
      </c>
      <c r="H74" s="5" t="n">
        <f>200.0</f>
        <v>200.0</v>
      </c>
    </row>
    <row r="75">
      <c r="A75" s="3" t="s">
        <v>87</v>
      </c>
      <c r="B75" s="4" t="s">
        <v>88</v>
      </c>
      <c r="C75" s="4" t="s">
        <v>89</v>
      </c>
      <c r="D75" s="3" t="n">
        <v>1.0</v>
      </c>
      <c r="E75" s="4" t="s">
        <v>43</v>
      </c>
      <c r="F75" s="4" t="s">
        <v>44</v>
      </c>
      <c r="G75" s="4" t="s">
        <v>45</v>
      </c>
      <c r="H75" s="5" t="n">
        <f>14.0</f>
        <v>14.0</v>
      </c>
    </row>
    <row r="76">
      <c r="A76" s="3" t="s">
        <v>87</v>
      </c>
      <c r="B76" s="4" t="s">
        <v>88</v>
      </c>
      <c r="C76" s="4" t="s">
        <v>89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14.0</f>
        <v>14.0</v>
      </c>
    </row>
    <row r="77">
      <c r="A77" s="3" t="s">
        <v>87</v>
      </c>
      <c r="B77" s="4" t="s">
        <v>88</v>
      </c>
      <c r="C77" s="4" t="s">
        <v>89</v>
      </c>
      <c r="D77" s="3" t="n">
        <v>3.0</v>
      </c>
      <c r="E77" s="4" t="s">
        <v>37</v>
      </c>
      <c r="F77" s="4" t="s">
        <v>38</v>
      </c>
      <c r="G77" s="4" t="s">
        <v>39</v>
      </c>
      <c r="H77" s="5" t="n">
        <f>8.0</f>
        <v>8.0</v>
      </c>
    </row>
    <row r="78">
      <c r="A78" s="3" t="s">
        <v>87</v>
      </c>
      <c r="B78" s="4" t="s">
        <v>90</v>
      </c>
      <c r="C78" s="4" t="s">
        <v>91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435.0</f>
        <v>435.0</v>
      </c>
    </row>
    <row r="79">
      <c r="A79" s="3" t="s">
        <v>87</v>
      </c>
      <c r="B79" s="4" t="s">
        <v>90</v>
      </c>
      <c r="C79" s="4" t="s">
        <v>91</v>
      </c>
      <c r="D79" s="3" t="n">
        <v>2.0</v>
      </c>
      <c r="E79" s="4" t="s">
        <v>40</v>
      </c>
      <c r="F79" s="4" t="s">
        <v>41</v>
      </c>
      <c r="G79" s="4" t="s">
        <v>42</v>
      </c>
      <c r="H79" s="5" t="n">
        <f>250.0</f>
        <v>250.0</v>
      </c>
    </row>
    <row r="80">
      <c r="A80" s="3" t="s">
        <v>87</v>
      </c>
      <c r="B80" s="4" t="s">
        <v>90</v>
      </c>
      <c r="C80" s="4" t="s">
        <v>91</v>
      </c>
      <c r="D80" s="3" t="n">
        <v>3.0</v>
      </c>
      <c r="E80" s="4" t="s">
        <v>58</v>
      </c>
      <c r="F80" s="4" t="s">
        <v>59</v>
      </c>
      <c r="G80" s="4" t="s">
        <v>60</v>
      </c>
      <c r="H80" s="5" t="n">
        <f>185.0</f>
        <v>185.0</v>
      </c>
    </row>
    <row r="81">
      <c r="A81" s="3" t="s">
        <v>87</v>
      </c>
      <c r="B81" s="4" t="s">
        <v>90</v>
      </c>
      <c r="C81" s="4" t="s">
        <v>91</v>
      </c>
      <c r="D81" s="3" t="n">
        <v>4.0</v>
      </c>
      <c r="E81" s="4" t="s">
        <v>55</v>
      </c>
      <c r="F81" s="4" t="s">
        <v>56</v>
      </c>
      <c r="G81" s="4" t="s">
        <v>57</v>
      </c>
      <c r="H81" s="5" t="n">
        <f>100.0</f>
        <v>100.0</v>
      </c>
    </row>
    <row r="82">
      <c r="A82" s="3" t="s">
        <v>87</v>
      </c>
      <c r="B82" s="4" t="s">
        <v>90</v>
      </c>
      <c r="C82" s="4" t="s">
        <v>91</v>
      </c>
      <c r="D82" s="3" t="n">
        <v>4.0</v>
      </c>
      <c r="E82" s="4" t="s">
        <v>13</v>
      </c>
      <c r="F82" s="4" t="s">
        <v>14</v>
      </c>
      <c r="G82" s="4" t="s">
        <v>15</v>
      </c>
      <c r="H82" s="5" t="n">
        <f>100.0</f>
        <v>100.0</v>
      </c>
    </row>
    <row r="83">
      <c r="A83" s="3" t="s">
        <v>87</v>
      </c>
      <c r="B83" s="4" t="s">
        <v>90</v>
      </c>
      <c r="C83" s="4" t="s">
        <v>91</v>
      </c>
      <c r="D83" s="3" t="n">
        <v>6.0</v>
      </c>
      <c r="E83" s="4" t="s">
        <v>49</v>
      </c>
      <c r="F83" s="4" t="s">
        <v>50</v>
      </c>
      <c r="G83" s="4" t="s">
        <v>51</v>
      </c>
      <c r="H83" s="5" t="n">
        <f>10.0</f>
        <v>10.0</v>
      </c>
    </row>
    <row r="84">
      <c r="A84" s="3" t="s">
        <v>87</v>
      </c>
      <c r="B84" s="4" t="s">
        <v>90</v>
      </c>
      <c r="C84" s="4" t="s">
        <v>91</v>
      </c>
      <c r="D84" s="3" t="n">
        <v>7.0</v>
      </c>
      <c r="E84" s="4" t="s">
        <v>37</v>
      </c>
      <c r="F84" s="4" t="s">
        <v>38</v>
      </c>
      <c r="G84" s="4" t="s">
        <v>39</v>
      </c>
      <c r="H84" s="5" t="n">
        <f>6.0</f>
        <v>6.0</v>
      </c>
    </row>
    <row r="85">
      <c r="A85" s="3" t="s">
        <v>87</v>
      </c>
      <c r="B85" s="4" t="s">
        <v>92</v>
      </c>
      <c r="C85" s="4" t="s">
        <v>93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400.0</f>
        <v>400.0</v>
      </c>
    </row>
    <row r="86">
      <c r="A86" s="3" t="s">
        <v>87</v>
      </c>
      <c r="B86" s="4" t="s">
        <v>92</v>
      </c>
      <c r="C86" s="4" t="s">
        <v>93</v>
      </c>
      <c r="D86" s="3" t="n">
        <v>2.0</v>
      </c>
      <c r="E86" s="4" t="s">
        <v>58</v>
      </c>
      <c r="F86" s="4" t="s">
        <v>59</v>
      </c>
      <c r="G86" s="4" t="s">
        <v>60</v>
      </c>
      <c r="H86" s="5" t="n">
        <f>200.0</f>
        <v>200.0</v>
      </c>
    </row>
    <row r="87">
      <c r="A87" s="3" t="s">
        <v>87</v>
      </c>
      <c r="B87" s="4" t="s">
        <v>92</v>
      </c>
      <c r="C87" s="4" t="s">
        <v>93</v>
      </c>
      <c r="D87" s="3" t="n">
        <v>3.0</v>
      </c>
      <c r="E87" s="4" t="s">
        <v>37</v>
      </c>
      <c r="F87" s="4" t="s">
        <v>38</v>
      </c>
      <c r="G87" s="4" t="s">
        <v>39</v>
      </c>
      <c r="H87" s="5" t="n">
        <f>2.0</f>
        <v>2.0</v>
      </c>
    </row>
    <row r="88">
      <c r="A88" s="3" t="s">
        <v>87</v>
      </c>
      <c r="B88" s="4" t="s">
        <v>94</v>
      </c>
      <c r="C88" s="4" t="s">
        <v>95</v>
      </c>
      <c r="D88" s="3" t="n">
        <v>1.0</v>
      </c>
      <c r="E88" s="4" t="s">
        <v>49</v>
      </c>
      <c r="F88" s="4" t="s">
        <v>50</v>
      </c>
      <c r="G88" s="4" t="s">
        <v>51</v>
      </c>
      <c r="H88" s="5" t="n">
        <f>2.0</f>
        <v>2.0</v>
      </c>
    </row>
    <row r="89">
      <c r="A89" s="3" t="s">
        <v>87</v>
      </c>
      <c r="B89" s="4" t="s">
        <v>96</v>
      </c>
      <c r="C89" s="4" t="s">
        <v>97</v>
      </c>
      <c r="D89" s="3" t="n">
        <v>1.0</v>
      </c>
      <c r="E89" s="4" t="s">
        <v>37</v>
      </c>
      <c r="F89" s="4" t="s">
        <v>38</v>
      </c>
      <c r="G89" s="4" t="s">
        <v>39</v>
      </c>
      <c r="H89" s="5" t="n">
        <f>12.0</f>
        <v>12.0</v>
      </c>
    </row>
    <row r="90">
      <c r="A90" s="3" t="s">
        <v>87</v>
      </c>
      <c r="B90" s="4" t="s">
        <v>96</v>
      </c>
      <c r="C90" s="4" t="s">
        <v>97</v>
      </c>
      <c r="D90" s="3" t="n">
        <v>2.0</v>
      </c>
      <c r="E90" s="4" t="s">
        <v>49</v>
      </c>
      <c r="F90" s="4" t="s">
        <v>50</v>
      </c>
      <c r="G90" s="4" t="s">
        <v>51</v>
      </c>
      <c r="H90" s="5" t="n">
        <f>6.0</f>
        <v>6.0</v>
      </c>
    </row>
    <row r="91">
      <c r="A91" s="3" t="s">
        <v>87</v>
      </c>
      <c r="B91" s="4" t="s">
        <v>98</v>
      </c>
      <c r="C91" s="4" t="s">
        <v>99</v>
      </c>
      <c r="D91" s="3" t="n">
        <v>1.0</v>
      </c>
      <c r="E91" s="4" t="s">
        <v>37</v>
      </c>
      <c r="F91" s="4" t="s">
        <v>38</v>
      </c>
      <c r="G91" s="4" t="s">
        <v>39</v>
      </c>
      <c r="H91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