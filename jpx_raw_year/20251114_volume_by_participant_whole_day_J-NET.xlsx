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<sst xmlns="http://schemas.openxmlformats.org/spreadsheetml/2006/main" count="406" uniqueCount="109">
  <si>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</si>
  <si>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</si>
  <si>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</si>
  <si>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</si>
  <si>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</si>
  <si>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</si>
  <si>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</si>
  <si>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</si>
  <si>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</si>
  <si>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20251114</t>
  </si>
  <si>
    <t>NK225F</t>
  </si>
  <si>
    <t>160120018</t>
  </si>
  <si>
    <t>NIKKEI 225 FUT 2512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</si>
  <si>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</si>
  <si>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</si>
  <si>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</si>
  <si>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</si>
  <si>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</si>
  <si>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</si>
  <si>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</si>
  <si>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</si>
  <si>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</si>
  <si>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</si>
  <si>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</si>
  <si>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</si>
  <si>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</si>
  <si>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</si>
  <si>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</si>
  <si>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</si>
  <si>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</si>
  <si>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</si>
  <si>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</si>
  <si>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</si>
  <si>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</si>
  <si>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</si>
  <si>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</si>
  <si>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</si>
  <si>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</si>
  <si>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</si>
  <si>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</si>
  <si>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</si>
  <si>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</si>
  <si>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</si>
  <si>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</si>
  <si>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</si>
  <si>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</si>
  <si>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</si>
  <si>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</si>
  <si>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</si>
  <si>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</si>
  <si>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</si>
  <si>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</si>
  <si>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</si>
  <si>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</si>
  <si>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</si>
  <si>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</si>
  <si>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</si>
  <si>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</si>
  <si>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</si>
  <si>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</si>
  <si>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</si>
  <si>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</si>
  <si>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</si>
  <si>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</si>
  <si>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</si>
  <si>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</si>
  <si>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</si>
  <si>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</si>
  <si>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</si>
  <si>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</si>
  <si>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</si>
  <si>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</si>
  <si>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</si>
  <si>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161030018</t>
  </si>
  <si>
    <t>NIKKEI 225 FUT 2603</t>
  </si>
  <si>
    <t>NK225MF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</si>
  <si>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</si>
  <si>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</si>
  <si>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</si>
  <si>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</si>
  <si>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</si>
  <si>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</si>
  <si>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</si>
  <si>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</si>
  <si>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</si>
  <si>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</si>
  <si>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</si>
  <si>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</si>
  <si>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</si>
  <si>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</si>
  <si>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</si>
  <si>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180249518</t>
  </si>
  <si>
    <t>NIKKEI 225 OOP P2512-49500</t>
  </si>
  <si>
    <t>130360018</t>
  </si>
  <si>
    <t>NIKKEI 225 OOP P2512-50000</t>
  </si>
  <si>
    <t>180240218</t>
  </si>
  <si>
    <t>NIKKEI 225 OOP P2512-50250</t>
  </si>
  <si>
    <t>180240518</t>
  </si>
  <si>
    <t>NIKKEI 225 OOP P2512-50500</t>
  </si>
  <si>
    <t>190241218</t>
  </si>
  <si>
    <t>NIKKEI 225 OOP C2512-51250</t>
  </si>
  <si>
    <t>190241018</t>
  </si>
  <si>
    <t>NIKKEI 225 OOP C2512-51000</t>
  </si>
  <si>
    <t>190240718</t>
  </si>
  <si>
    <t>NIKKEI 225 OOP C2512-50750</t>
  </si>
  <si>
    <t>190240518</t>
  </si>
  <si>
    <t>NIKKEI 225 OOP C2512-50500</t>
  </si>
  <si>
    <t>140120318</t>
  </si>
  <si>
    <t>NIKKEI 225 OOP C2512-50375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</si>
</sst>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5318.0</f>
        <v>5318.0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2305.0</f>
        <v>2305.0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2062.0</f>
        <v>2062.0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1304.0</f>
        <v>1304.0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1246.0</f>
        <v>1246.0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1240.0</f>
        <v>1240.0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1078.0</f>
        <v>1078.0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848.0</f>
        <v>848.0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740.0</f>
        <v>740.0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489.0</f>
        <v>489.0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372.0</f>
        <v>372.0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370.0</f>
        <v>370.0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316.0</f>
        <v>316.0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316.0</f>
        <v>316.0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232.0</f>
        <v>232.0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229.0</f>
        <v>229.0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50.0</f>
        <v>50.0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44.0</f>
        <v>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8.0</f>
        <v>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37</v>
      </c>
      <c r="F31" s="4" t="s">
        <v>38</v>
      </c>
      <c r="G31" s="4" t="s">
        <v>39</v>
      </c>
      <c r="H31" s="5" t="n">
        <f>47772.0</f>
        <v>47772.0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28330.0</f>
        <v>28330.0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61</v>
      </c>
      <c r="F33" s="4" t="s">
        <v>62</v>
      </c>
      <c r="G33" s="4" t="s">
        <v>63</v>
      </c>
      <c r="H33" s="5" t="n">
        <f>6228.0</f>
        <v>6228.0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13</v>
      </c>
      <c r="F34" s="4" t="s">
        <v>14</v>
      </c>
      <c r="G34" s="4" t="s">
        <v>15</v>
      </c>
      <c r="H34" s="5" t="n">
        <f>926.0</f>
        <v>926.0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16</v>
      </c>
      <c r="F35" s="4" t="s">
        <v>17</v>
      </c>
      <c r="G35" s="4" t="s">
        <v>18</v>
      </c>
      <c r="H35" s="5" t="n">
        <f>112.0</f>
        <v>112.0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19</v>
      </c>
      <c r="F36" s="4" t="s">
        <v>20</v>
      </c>
      <c r="G36" s="4" t="s">
        <v>21</v>
      </c>
      <c r="H36" s="5" t="n">
        <f>90.0</f>
        <v>90.0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78</v>
      </c>
      <c r="F37" s="4" t="s">
        <v>79</v>
      </c>
      <c r="G37" s="4" t="s">
        <v>80</v>
      </c>
      <c r="H37" s="5" t="n">
        <f>3.0</f>
        <v>3.0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22</v>
      </c>
      <c r="F38" s="4" t="s">
        <v>23</v>
      </c>
      <c r="G38" s="4" t="s">
        <v>24</v>
      </c>
      <c r="H38" s="5" t="n">
        <f>3.0</f>
        <v>3.0</v>
      </c>
    </row>
    <row r="39">
      <c r="A39" s="3" t="s">
        <v>75</v>
      </c>
      <c r="B39" s="4" t="s">
        <v>81</v>
      </c>
      <c r="C39" s="4" t="s">
        <v>82</v>
      </c>
      <c r="D39" s="3" t="n">
        <v>1.0</v>
      </c>
      <c r="E39" s="4" t="s">
        <v>37</v>
      </c>
      <c r="F39" s="4" t="s">
        <v>38</v>
      </c>
      <c r="G39" s="4" t="s">
        <v>39</v>
      </c>
      <c r="H39" s="5" t="n">
        <f>432.0</f>
        <v>432.0</v>
      </c>
    </row>
    <row r="40">
      <c r="A40" s="3" t="s">
        <v>75</v>
      </c>
      <c r="B40" s="4" t="s">
        <v>81</v>
      </c>
      <c r="C40" s="4" t="s">
        <v>82</v>
      </c>
      <c r="D40" s="3" t="n">
        <v>2.0</v>
      </c>
      <c r="E40" s="4" t="s">
        <v>43</v>
      </c>
      <c r="F40" s="4" t="s">
        <v>44</v>
      </c>
      <c r="G40" s="4" t="s">
        <v>45</v>
      </c>
      <c r="H40" s="5" t="n">
        <f>306.0</f>
        <v>306.0</v>
      </c>
    </row>
    <row r="41">
      <c r="A41" s="3" t="s">
        <v>75</v>
      </c>
      <c r="B41" s="4" t="s">
        <v>81</v>
      </c>
      <c r="C41" s="4" t="s">
        <v>82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100.0</f>
        <v>100.0</v>
      </c>
    </row>
    <row r="42">
      <c r="A42" s="3" t="s">
        <v>75</v>
      </c>
      <c r="B42" s="4" t="s">
        <v>83</v>
      </c>
      <c r="C42" s="4" t="s">
        <v>84</v>
      </c>
      <c r="D42" s="3" t="n">
        <v>1.0</v>
      </c>
      <c r="E42" s="4" t="s">
        <v>37</v>
      </c>
      <c r="F42" s="4" t="s">
        <v>38</v>
      </c>
      <c r="G42" s="4" t="s">
        <v>39</v>
      </c>
      <c r="H42" s="5" t="n">
        <f>22.0</f>
        <v>22.0</v>
      </c>
    </row>
    <row r="43">
      <c r="A43" s="3" t="s">
        <v>75</v>
      </c>
      <c r="B43" s="4" t="s">
        <v>83</v>
      </c>
      <c r="C43" s="4" t="s">
        <v>84</v>
      </c>
      <c r="D43" s="3" t="n">
        <v>2.0</v>
      </c>
      <c r="E43" s="4" t="s">
        <v>61</v>
      </c>
      <c r="F43" s="4" t="s">
        <v>62</v>
      </c>
      <c r="G43" s="4" t="s">
        <v>63</v>
      </c>
      <c r="H43" s="5" t="n">
        <f>12.0</f>
        <v>12.0</v>
      </c>
    </row>
    <row r="44">
      <c r="A44" s="3" t="s">
        <v>85</v>
      </c>
      <c r="B44" s="4" t="s">
        <v>86</v>
      </c>
      <c r="C44" s="4" t="s">
        <v>87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3839.0</f>
        <v>3839.0</v>
      </c>
    </row>
    <row r="45">
      <c r="A45" s="3" t="s">
        <v>85</v>
      </c>
      <c r="B45" s="4" t="s">
        <v>86</v>
      </c>
      <c r="C45" s="4" t="s">
        <v>87</v>
      </c>
      <c r="D45" s="3" t="n">
        <v>2.0</v>
      </c>
      <c r="E45" s="4" t="s">
        <v>22</v>
      </c>
      <c r="F45" s="4" t="s">
        <v>23</v>
      </c>
      <c r="G45" s="4" t="s">
        <v>24</v>
      </c>
      <c r="H45" s="5" t="n">
        <f>1963.0</f>
        <v>1963.0</v>
      </c>
    </row>
    <row r="46">
      <c r="A46" s="3" t="s">
        <v>85</v>
      </c>
      <c r="B46" s="4" t="s">
        <v>86</v>
      </c>
      <c r="C46" s="4" t="s">
        <v>87</v>
      </c>
      <c r="D46" s="3" t="n">
        <v>3.0</v>
      </c>
      <c r="E46" s="4" t="s">
        <v>58</v>
      </c>
      <c r="F46" s="4" t="s">
        <v>59</v>
      </c>
      <c r="G46" s="4" t="s">
        <v>60</v>
      </c>
      <c r="H46" s="5" t="n">
        <f>1700.0</f>
        <v>1700.0</v>
      </c>
    </row>
    <row r="47">
      <c r="A47" s="3" t="s">
        <v>85</v>
      </c>
      <c r="B47" s="4" t="s">
        <v>86</v>
      </c>
      <c r="C47" s="4" t="s">
        <v>87</v>
      </c>
      <c r="D47" s="3" t="n">
        <v>4.0</v>
      </c>
      <c r="E47" s="4" t="s">
        <v>19</v>
      </c>
      <c r="F47" s="4" t="s">
        <v>20</v>
      </c>
      <c r="G47" s="4" t="s">
        <v>21</v>
      </c>
      <c r="H47" s="5" t="n">
        <f>1370.0</f>
        <v>1370.0</v>
      </c>
    </row>
    <row r="48">
      <c r="A48" s="3" t="s">
        <v>85</v>
      </c>
      <c r="B48" s="4" t="s">
        <v>86</v>
      </c>
      <c r="C48" s="4" t="s">
        <v>87</v>
      </c>
      <c r="D48" s="3" t="n">
        <v>5.0</v>
      </c>
      <c r="E48" s="4" t="s">
        <v>13</v>
      </c>
      <c r="F48" s="4" t="s">
        <v>14</v>
      </c>
      <c r="G48" s="4" t="s">
        <v>15</v>
      </c>
      <c r="H48" s="5" t="n">
        <f>1021.0</f>
        <v>1021.0</v>
      </c>
    </row>
    <row r="49">
      <c r="A49" s="3" t="s">
        <v>85</v>
      </c>
      <c r="B49" s="4" t="s">
        <v>86</v>
      </c>
      <c r="C49" s="4" t="s">
        <v>87</v>
      </c>
      <c r="D49" s="3" t="n">
        <v>6.0</v>
      </c>
      <c r="E49" s="4" t="s">
        <v>34</v>
      </c>
      <c r="F49" s="4" t="s">
        <v>35</v>
      </c>
      <c r="G49" s="4" t="s">
        <v>36</v>
      </c>
      <c r="H49" s="5" t="n">
        <f>986.0</f>
        <v>986.0</v>
      </c>
    </row>
    <row r="50">
      <c r="A50" s="3" t="s">
        <v>85</v>
      </c>
      <c r="B50" s="4" t="s">
        <v>86</v>
      </c>
      <c r="C50" s="4" t="s">
        <v>87</v>
      </c>
      <c r="D50" s="3" t="n">
        <v>7.0</v>
      </c>
      <c r="E50" s="4" t="s">
        <v>25</v>
      </c>
      <c r="F50" s="4" t="s">
        <v>26</v>
      </c>
      <c r="G50" s="4" t="s">
        <v>27</v>
      </c>
      <c r="H50" s="5" t="n">
        <f>908.0</f>
        <v>908.0</v>
      </c>
    </row>
    <row r="51">
      <c r="A51" s="3" t="s">
        <v>85</v>
      </c>
      <c r="B51" s="4" t="s">
        <v>86</v>
      </c>
      <c r="C51" s="4" t="s">
        <v>87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250.0</f>
        <v>250.0</v>
      </c>
    </row>
    <row r="52">
      <c r="A52" s="3" t="s">
        <v>85</v>
      </c>
      <c r="B52" s="4" t="s">
        <v>86</v>
      </c>
      <c r="C52" s="4" t="s">
        <v>87</v>
      </c>
      <c r="D52" s="3" t="n">
        <v>9.0</v>
      </c>
      <c r="E52" s="4" t="s">
        <v>37</v>
      </c>
      <c r="F52" s="4" t="s">
        <v>38</v>
      </c>
      <c r="G52" s="4" t="s">
        <v>39</v>
      </c>
      <c r="H52" s="5" t="n">
        <f>240.0</f>
        <v>240.0</v>
      </c>
    </row>
    <row r="53">
      <c r="A53" s="3" t="s">
        <v>85</v>
      </c>
      <c r="B53" s="4" t="s">
        <v>86</v>
      </c>
      <c r="C53" s="4" t="s">
        <v>87</v>
      </c>
      <c r="D53" s="3" t="n">
        <v>10.0</v>
      </c>
      <c r="E53" s="4" t="s">
        <v>70</v>
      </c>
      <c r="F53" s="4" t="s">
        <v>71</v>
      </c>
      <c r="G53" s="4" t="s">
        <v>72</v>
      </c>
      <c r="H53" s="5" t="n">
        <f>98.0</f>
        <v>98.0</v>
      </c>
    </row>
    <row r="54">
      <c r="A54" s="3" t="s">
        <v>85</v>
      </c>
      <c r="B54" s="4" t="s">
        <v>86</v>
      </c>
      <c r="C54" s="4" t="s">
        <v>87</v>
      </c>
      <c r="D54" s="3" t="n">
        <v>11.0</v>
      </c>
      <c r="E54" s="4" t="s">
        <v>49</v>
      </c>
      <c r="F54" s="4" t="s">
        <v>50</v>
      </c>
      <c r="G54" s="4" t="s">
        <v>51</v>
      </c>
      <c r="H54" s="5" t="n">
        <f>82.0</f>
        <v>82.0</v>
      </c>
    </row>
    <row r="55">
      <c r="A55" s="3" t="s">
        <v>85</v>
      </c>
      <c r="B55" s="4" t="s">
        <v>86</v>
      </c>
      <c r="C55" s="4" t="s">
        <v>87</v>
      </c>
      <c r="D55" s="3" t="n">
        <v>12.0</v>
      </c>
      <c r="E55" s="4" t="s">
        <v>31</v>
      </c>
      <c r="F55" s="4" t="s">
        <v>32</v>
      </c>
      <c r="G55" s="4" t="s">
        <v>33</v>
      </c>
      <c r="H55" s="5" t="n">
        <f>45.0</f>
        <v>45.0</v>
      </c>
    </row>
    <row r="56">
      <c r="A56" s="3" t="s">
        <v>85</v>
      </c>
      <c r="B56" s="4" t="s">
        <v>86</v>
      </c>
      <c r="C56" s="4" t="s">
        <v>87</v>
      </c>
      <c r="D56" s="3" t="n">
        <v>13.0</v>
      </c>
      <c r="E56" s="4" t="s">
        <v>52</v>
      </c>
      <c r="F56" s="4" t="s">
        <v>53</v>
      </c>
      <c r="G56" s="4" t="s">
        <v>54</v>
      </c>
      <c r="H56" s="5" t="n">
        <f>18.0</f>
        <v>18.0</v>
      </c>
    </row>
    <row r="57">
      <c r="A57" s="3" t="s">
        <v>85</v>
      </c>
      <c r="B57" s="4" t="s">
        <v>86</v>
      </c>
      <c r="C57" s="4" t="s">
        <v>87</v>
      </c>
      <c r="D57" s="3" t="n">
        <v>14.0</v>
      </c>
      <c r="E57" s="4" t="s">
        <v>55</v>
      </c>
      <c r="F57" s="4" t="s">
        <v>56</v>
      </c>
      <c r="G57" s="4" t="s">
        <v>57</v>
      </c>
      <c r="H57" s="5" t="n">
        <f>10.0</f>
        <v>10.0</v>
      </c>
    </row>
    <row r="58">
      <c r="A58" s="3" t="s">
        <v>85</v>
      </c>
      <c r="B58" s="4" t="s">
        <v>86</v>
      </c>
      <c r="C58" s="4" t="s">
        <v>87</v>
      </c>
      <c r="D58" s="3" t="n">
        <v>15.0</v>
      </c>
      <c r="E58" s="4" t="s">
        <v>61</v>
      </c>
      <c r="F58" s="4" t="s">
        <v>62</v>
      </c>
      <c r="G58" s="4" t="s">
        <v>63</v>
      </c>
      <c r="H58" s="5" t="n">
        <f>8.0</f>
        <v>8.0</v>
      </c>
    </row>
    <row r="59">
      <c r="A59" s="3" t="s">
        <v>85</v>
      </c>
      <c r="B59" s="4" t="s">
        <v>86</v>
      </c>
      <c r="C59" s="4" t="s">
        <v>87</v>
      </c>
      <c r="D59" s="3" t="n">
        <v>15.0</v>
      </c>
      <c r="E59" s="4" t="s">
        <v>46</v>
      </c>
      <c r="F59" s="4" t="s">
        <v>47</v>
      </c>
      <c r="G59" s="4" t="s">
        <v>48</v>
      </c>
      <c r="H59" s="5" t="n">
        <f>8.0</f>
        <v>8.0</v>
      </c>
    </row>
    <row r="60">
      <c r="A60" s="3" t="s">
        <v>85</v>
      </c>
      <c r="B60" s="4" t="s">
        <v>88</v>
      </c>
      <c r="C60" s="4" t="s">
        <v>89</v>
      </c>
      <c r="D60" s="3" t="n">
        <v>1.0</v>
      </c>
      <c r="E60" s="4" t="s">
        <v>58</v>
      </c>
      <c r="F60" s="4" t="s">
        <v>59</v>
      </c>
      <c r="G60" s="4" t="s">
        <v>60</v>
      </c>
      <c r="H60" s="5" t="n">
        <f>850.0</f>
        <v>850.0</v>
      </c>
    </row>
    <row r="61">
      <c r="A61" s="3" t="s">
        <v>85</v>
      </c>
      <c r="B61" s="4" t="s">
        <v>88</v>
      </c>
      <c r="C61" s="4" t="s">
        <v>89</v>
      </c>
      <c r="D61" s="3" t="n">
        <v>2.0</v>
      </c>
      <c r="E61" s="4" t="s">
        <v>34</v>
      </c>
      <c r="F61" s="4" t="s">
        <v>35</v>
      </c>
      <c r="G61" s="4" t="s">
        <v>36</v>
      </c>
      <c r="H61" s="5" t="n">
        <f>750.0</f>
        <v>750.0</v>
      </c>
    </row>
    <row r="62">
      <c r="A62" s="3" t="s">
        <v>85</v>
      </c>
      <c r="B62" s="4" t="s">
        <v>88</v>
      </c>
      <c r="C62" s="4" t="s">
        <v>89</v>
      </c>
      <c r="D62" s="3" t="n">
        <v>3.0</v>
      </c>
      <c r="E62" s="4" t="s">
        <v>25</v>
      </c>
      <c r="F62" s="4" t="s">
        <v>26</v>
      </c>
      <c r="G62" s="4" t="s">
        <v>27</v>
      </c>
      <c r="H62" s="5" t="n">
        <f>600.0</f>
        <v>600.0</v>
      </c>
    </row>
    <row r="63">
      <c r="A63" s="3" t="s">
        <v>85</v>
      </c>
      <c r="B63" s="4" t="s">
        <v>88</v>
      </c>
      <c r="C63" s="4" t="s">
        <v>89</v>
      </c>
      <c r="D63" s="3" t="n">
        <v>4.0</v>
      </c>
      <c r="E63" s="4" t="s">
        <v>22</v>
      </c>
      <c r="F63" s="4" t="s">
        <v>23</v>
      </c>
      <c r="G63" s="4" t="s">
        <v>24</v>
      </c>
      <c r="H63" s="5" t="n">
        <f>400.0</f>
        <v>400.0</v>
      </c>
    </row>
    <row r="64">
      <c r="A64" s="3" t="s">
        <v>85</v>
      </c>
      <c r="B64" s="4" t="s">
        <v>88</v>
      </c>
      <c r="C64" s="4" t="s">
        <v>89</v>
      </c>
      <c r="D64" s="3" t="n">
        <v>5.0</v>
      </c>
      <c r="E64" s="4" t="s">
        <v>13</v>
      </c>
      <c r="F64" s="4" t="s">
        <v>14</v>
      </c>
      <c r="G64" s="4" t="s">
        <v>15</v>
      </c>
      <c r="H64" s="5" t="n">
        <f>100.0</f>
        <v>100.0</v>
      </c>
    </row>
    <row r="65">
      <c r="A65" s="3" t="s">
        <v>90</v>
      </c>
      <c r="B65" s="4" t="s">
        <v>91</v>
      </c>
      <c r="C65" s="4" t="s">
        <v>92</v>
      </c>
      <c r="D65" s="3" t="n">
        <v>1.0</v>
      </c>
      <c r="E65" s="4" t="s">
        <v>37</v>
      </c>
      <c r="F65" s="4" t="s">
        <v>38</v>
      </c>
      <c r="G65" s="4" t="s">
        <v>39</v>
      </c>
      <c r="H65" s="5" t="n">
        <f>12.0</f>
        <v>12.0</v>
      </c>
    </row>
    <row r="66">
      <c r="A66" s="3" t="s">
        <v>90</v>
      </c>
      <c r="B66" s="4" t="s">
        <v>93</v>
      </c>
      <c r="C66" s="4" t="s">
        <v>94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6.0</f>
        <v>6.0</v>
      </c>
    </row>
    <row r="67">
      <c r="A67" s="3" t="s">
        <v>90</v>
      </c>
      <c r="B67" s="4" t="s">
        <v>95</v>
      </c>
      <c r="C67" s="4" t="s">
        <v>96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90</v>
      </c>
      <c r="B68" s="4" t="s">
        <v>97</v>
      </c>
      <c r="C68" s="4" t="s">
        <v>98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2.0</f>
        <v>2.0</v>
      </c>
    </row>
    <row r="69">
      <c r="A69" s="3" t="s">
        <v>90</v>
      </c>
      <c r="B69" s="4" t="s">
        <v>99</v>
      </c>
      <c r="C69" s="4" t="s">
        <v>100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2.0</f>
        <v>2.0</v>
      </c>
    </row>
    <row r="70">
      <c r="A70" s="3" t="s">
        <v>90</v>
      </c>
      <c r="B70" s="4" t="s">
        <v>101</v>
      </c>
      <c r="C70" s="4" t="s">
        <v>102</v>
      </c>
      <c r="D70" s="3" t="n">
        <v>1.0</v>
      </c>
      <c r="E70" s="4" t="s">
        <v>37</v>
      </c>
      <c r="F70" s="4" t="s">
        <v>38</v>
      </c>
      <c r="G70" s="4" t="s">
        <v>39</v>
      </c>
      <c r="H70" s="5" t="n">
        <f>10.0</f>
        <v>10.0</v>
      </c>
    </row>
    <row r="71">
      <c r="A71" s="3" t="s">
        <v>90</v>
      </c>
      <c r="B71" s="4" t="s">
        <v>101</v>
      </c>
      <c r="C71" s="4" t="s">
        <v>102</v>
      </c>
      <c r="D71" s="3" t="n">
        <v>2.0</v>
      </c>
      <c r="E71" s="4" t="s">
        <v>31</v>
      </c>
      <c r="F71" s="4" t="s">
        <v>32</v>
      </c>
      <c r="G71" s="4" t="s">
        <v>33</v>
      </c>
      <c r="H71" s="5" t="n">
        <f>8.0</f>
        <v>8.0</v>
      </c>
    </row>
    <row r="72">
      <c r="A72" s="3" t="s">
        <v>90</v>
      </c>
      <c r="B72" s="4" t="s">
        <v>103</v>
      </c>
      <c r="C72" s="4" t="s">
        <v>104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32.0</f>
        <v>32.0</v>
      </c>
    </row>
    <row r="73">
      <c r="A73" s="3" t="s">
        <v>90</v>
      </c>
      <c r="B73" s="4" t="s">
        <v>105</v>
      </c>
      <c r="C73" s="4" t="s">
        <v>106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4.0</f>
        <v>4.0</v>
      </c>
    </row>
    <row r="74">
      <c r="A74" s="3" t="s">
        <v>90</v>
      </c>
      <c r="B74" s="4" t="s">
        <v>107</v>
      </c>
      <c r="C74" s="4" t="s">
        <v>108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182.0</f>
        <v>182.0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