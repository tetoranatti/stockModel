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<sst xmlns="http://schemas.openxmlformats.org/spreadsheetml/2006/main" count="370" uniqueCount="96">
  <si>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</si>
  <si>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</si>
  <si>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</si>
  <si>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</si>
  <si>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</si>
  <si>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</si>
  <si>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</si>
  <si>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</si>
  <si>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</si>
  <si>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20260819</t>
  </si>
  <si>
    <t>NK225F</t>
  </si>
  <si>
    <t>161090018</t>
  </si>
  <si>
    <t>NIKKEI 225 FUT 2609</t>
  </si>
  <si>
    <t>11256</t>
  </si>
  <si>
    <t>ＳＢＩ証券</t>
  </si>
  <si>
    <t>SBI SECURITIES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</si>
  <si>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</si>
  <si>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</si>
  <si>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</si>
  <si>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</si>
  <si>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</si>
  <si>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</si>
  <si>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</si>
  <si>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</si>
  <si>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</si>
  <si>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</si>
  <si>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</si>
  <si>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</si>
  <si>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</si>
  <si>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</si>
  <si>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</si>
  <si>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</si>
  <si>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</si>
  <si>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</si>
  <si>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</si>
  <si>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</si>
  <si>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</si>
  <si>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</si>
  <si>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</si>
  <si>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</si>
  <si>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12057</t>
  </si>
  <si>
    <t>楽天証券</t>
  </si>
  <si>
    <t>Rakuten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</si>
  <si>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</si>
  <si>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</si>
  <si>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</si>
  <si>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</si>
  <si>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</si>
  <si>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</si>
  <si>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</si>
  <si>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</si>
  <si>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</si>
  <si>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</si>
  <si>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</si>
  <si>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</si>
  <si>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</si>
  <si>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</si>
  <si>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</si>
  <si>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</si>
  <si>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</si>
  <si>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</si>
  <si>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</si>
  <si>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</si>
  <si>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</si>
  <si>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</si>
  <si>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</si>
  <si>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</si>
  <si>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</si>
  <si>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</si>
  <si>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</si>
  <si>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</si>
  <si>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</si>
  <si>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</si>
  <si>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</si>
  <si>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</si>
  <si>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</si>
  <si>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</si>
  <si>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</si>
  <si>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</si>
  <si>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</si>
  <si>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</si>
  <si>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</si>
  <si>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</si>
  <si>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</si>
  <si>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</si>
  <si>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161120005</t>
  </si>
  <si>
    <t>TOPIX FUT 2612</t>
  </si>
  <si>
    <t>NK225E</t>
  </si>
  <si>
    <t>181214518</t>
  </si>
  <si>
    <t>NIKKEI 225 OOP P2609-64500</t>
  </si>
  <si>
    <t>131335018</t>
  </si>
  <si>
    <t>NIKKEI 225 OOP P2609-65000</t>
  </si>
  <si>
    <t>181215518</t>
  </si>
  <si>
    <t>NIKKEI 225 OOP P2609-65500</t>
  </si>
  <si>
    <t>191215518</t>
  </si>
  <si>
    <t>NIKKEI 225 OOP C2609-65500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</si>
</sst>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2823.0</f>
        <v>2823.0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2738.0</f>
        <v>2738.0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1844.0</f>
        <v>1844.0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1656.0</f>
        <v>1656.0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1596.0</f>
        <v>1596.0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1578.0</f>
        <v>1578.0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1377.0</f>
        <v>1377.0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851.0</f>
        <v>851.0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552.0</f>
        <v>552.0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524.0</f>
        <v>524.0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480.0</f>
        <v>480.0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455.0</f>
        <v>455.0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320.0</f>
        <v>320.0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306.0</f>
        <v>306.0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244.0</f>
        <v>244.0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193.0</f>
        <v>193.0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84.0</f>
        <v>84.0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76.0</f>
        <v>76.0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58.0</f>
        <v>58.0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52.0</f>
        <v>52.0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300.0</f>
        <v>300.0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20.0</f>
        <v>20.0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10.0</f>
        <v>10.0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43172.0</f>
        <v>43172.0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40</v>
      </c>
      <c r="F35" s="4" t="s">
        <v>41</v>
      </c>
      <c r="G35" s="4" t="s">
        <v>42</v>
      </c>
      <c r="H35" s="5" t="n">
        <f>22918.0</f>
        <v>22918.0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70</v>
      </c>
      <c r="F36" s="4" t="s">
        <v>71</v>
      </c>
      <c r="G36" s="4" t="s">
        <v>72</v>
      </c>
      <c r="H36" s="5" t="n">
        <f>4318.0</f>
        <v>4318.0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34</v>
      </c>
      <c r="F37" s="4" t="s">
        <v>35</v>
      </c>
      <c r="G37" s="4" t="s">
        <v>36</v>
      </c>
      <c r="H37" s="5" t="n">
        <f>108.0</f>
        <v>108.0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16</v>
      </c>
      <c r="F38" s="4" t="s">
        <v>17</v>
      </c>
      <c r="G38" s="4" t="s">
        <v>18</v>
      </c>
      <c r="H38" s="5" t="n">
        <f>95.0</f>
        <v>95.0</v>
      </c>
    </row>
    <row r="39">
      <c r="A39" s="3" t="s">
        <v>75</v>
      </c>
      <c r="B39" s="4" t="s">
        <v>76</v>
      </c>
      <c r="C39" s="4" t="s">
        <v>77</v>
      </c>
      <c r="D39" s="3" t="n">
        <v>6.0</v>
      </c>
      <c r="E39" s="4" t="s">
        <v>43</v>
      </c>
      <c r="F39" s="4" t="s">
        <v>44</v>
      </c>
      <c r="G39" s="4" t="s">
        <v>45</v>
      </c>
      <c r="H39" s="5" t="n">
        <f>25.0</f>
        <v>25.0</v>
      </c>
    </row>
    <row r="40">
      <c r="A40" s="3" t="s">
        <v>75</v>
      </c>
      <c r="B40" s="4" t="s">
        <v>76</v>
      </c>
      <c r="C40" s="4" t="s">
        <v>77</v>
      </c>
      <c r="D40" s="3" t="n">
        <v>7.0</v>
      </c>
      <c r="E40" s="4" t="s">
        <v>58</v>
      </c>
      <c r="F40" s="4" t="s">
        <v>59</v>
      </c>
      <c r="G40" s="4" t="s">
        <v>60</v>
      </c>
      <c r="H40" s="5" t="n">
        <f>14.0</f>
        <v>14.0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160.0</f>
        <v>160.0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40</v>
      </c>
      <c r="F42" s="4" t="s">
        <v>41</v>
      </c>
      <c r="G42" s="4" t="s">
        <v>42</v>
      </c>
      <c r="H42" s="5" t="n">
        <f>82.0</f>
        <v>82.0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70</v>
      </c>
      <c r="F43" s="4" t="s">
        <v>71</v>
      </c>
      <c r="G43" s="4" t="s">
        <v>72</v>
      </c>
      <c r="H43" s="5" t="n">
        <f>40.0</f>
        <v>40.0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10.0</f>
        <v>10.0</v>
      </c>
    </row>
    <row r="45">
      <c r="A45" s="3" t="s">
        <v>75</v>
      </c>
      <c r="B45" s="4" t="s">
        <v>80</v>
      </c>
      <c r="C45" s="4" t="s">
        <v>81</v>
      </c>
      <c r="D45" s="3" t="n">
        <v>2.0</v>
      </c>
      <c r="E45" s="4" t="s">
        <v>70</v>
      </c>
      <c r="F45" s="4" t="s">
        <v>71</v>
      </c>
      <c r="G45" s="4" t="s">
        <v>72</v>
      </c>
      <c r="H45" s="5" t="n">
        <f>4.0</f>
        <v>4.0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34</v>
      </c>
      <c r="F46" s="4" t="s">
        <v>35</v>
      </c>
      <c r="G46" s="4" t="s">
        <v>36</v>
      </c>
      <c r="H46" s="5" t="n">
        <f>4648.0</f>
        <v>4648.0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19</v>
      </c>
      <c r="F47" s="4" t="s">
        <v>20</v>
      </c>
      <c r="G47" s="4" t="s">
        <v>21</v>
      </c>
      <c r="H47" s="5" t="n">
        <f>3058.0</f>
        <v>3058.0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28</v>
      </c>
      <c r="F48" s="4" t="s">
        <v>29</v>
      </c>
      <c r="G48" s="4" t="s">
        <v>30</v>
      </c>
      <c r="H48" s="5" t="n">
        <f>2976.0</f>
        <v>2976.0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22</v>
      </c>
      <c r="F49" s="4" t="s">
        <v>23</v>
      </c>
      <c r="G49" s="4" t="s">
        <v>24</v>
      </c>
      <c r="H49" s="5" t="n">
        <f>2659.0</f>
        <v>2659.0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46</v>
      </c>
      <c r="F50" s="4" t="s">
        <v>47</v>
      </c>
      <c r="G50" s="4" t="s">
        <v>48</v>
      </c>
      <c r="H50" s="5" t="n">
        <f>2466.0</f>
        <v>2466.0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13</v>
      </c>
      <c r="F51" s="4" t="s">
        <v>14</v>
      </c>
      <c r="G51" s="4" t="s">
        <v>15</v>
      </c>
      <c r="H51" s="5" t="n">
        <f>751.0</f>
        <v>751.0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49</v>
      </c>
      <c r="F52" s="4" t="s">
        <v>50</v>
      </c>
      <c r="G52" s="4" t="s">
        <v>51</v>
      </c>
      <c r="H52" s="5" t="n">
        <f>683.0</f>
        <v>683.0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64</v>
      </c>
      <c r="F53" s="4" t="s">
        <v>65</v>
      </c>
      <c r="G53" s="4" t="s">
        <v>66</v>
      </c>
      <c r="H53" s="5" t="n">
        <f>531.0</f>
        <v>531.0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16</v>
      </c>
      <c r="F54" s="4" t="s">
        <v>17</v>
      </c>
      <c r="G54" s="4" t="s">
        <v>18</v>
      </c>
      <c r="H54" s="5" t="n">
        <f>436.0</f>
        <v>436.0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31</v>
      </c>
      <c r="F55" s="4" t="s">
        <v>32</v>
      </c>
      <c r="G55" s="4" t="s">
        <v>33</v>
      </c>
      <c r="H55" s="5" t="n">
        <f>388.0</f>
        <v>388.0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25</v>
      </c>
      <c r="F56" s="4" t="s">
        <v>26</v>
      </c>
      <c r="G56" s="4" t="s">
        <v>27</v>
      </c>
      <c r="H56" s="5" t="n">
        <f>274.0</f>
        <v>274.0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58</v>
      </c>
      <c r="F57" s="4" t="s">
        <v>59</v>
      </c>
      <c r="G57" s="4" t="s">
        <v>60</v>
      </c>
      <c r="H57" s="5" t="n">
        <f>264.0</f>
        <v>264.0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37</v>
      </c>
      <c r="F58" s="4" t="s">
        <v>38</v>
      </c>
      <c r="G58" s="4" t="s">
        <v>39</v>
      </c>
      <c r="H58" s="5" t="n">
        <f>228.0</f>
        <v>228.0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43</v>
      </c>
      <c r="F59" s="4" t="s">
        <v>44</v>
      </c>
      <c r="G59" s="4" t="s">
        <v>45</v>
      </c>
      <c r="H59" s="5" t="n">
        <f>196.0</f>
        <v>196.0</v>
      </c>
    </row>
    <row r="60">
      <c r="A60" s="3" t="s">
        <v>82</v>
      </c>
      <c r="B60" s="4" t="s">
        <v>83</v>
      </c>
      <c r="C60" s="4" t="s">
        <v>84</v>
      </c>
      <c r="D60" s="3" t="n">
        <v>15.0</v>
      </c>
      <c r="E60" s="4" t="s">
        <v>52</v>
      </c>
      <c r="F60" s="4" t="s">
        <v>53</v>
      </c>
      <c r="G60" s="4" t="s">
        <v>54</v>
      </c>
      <c r="H60" s="5" t="n">
        <f>180.0</f>
        <v>180.0</v>
      </c>
    </row>
    <row r="61">
      <c r="A61" s="3" t="s">
        <v>82</v>
      </c>
      <c r="B61" s="4" t="s">
        <v>83</v>
      </c>
      <c r="C61" s="4" t="s">
        <v>84</v>
      </c>
      <c r="D61" s="3" t="n">
        <v>16.0</v>
      </c>
      <c r="E61" s="4" t="s">
        <v>70</v>
      </c>
      <c r="F61" s="4" t="s">
        <v>71</v>
      </c>
      <c r="G61" s="4" t="s">
        <v>72</v>
      </c>
      <c r="H61" s="5" t="n">
        <f>6.0</f>
        <v>6.0</v>
      </c>
    </row>
    <row r="62">
      <c r="A62" s="3" t="s">
        <v>82</v>
      </c>
      <c r="B62" s="4" t="s">
        <v>85</v>
      </c>
      <c r="C62" s="4" t="s">
        <v>86</v>
      </c>
      <c r="D62" s="3" t="n">
        <v>1.0</v>
      </c>
      <c r="E62" s="4" t="s">
        <v>28</v>
      </c>
      <c r="F62" s="4" t="s">
        <v>29</v>
      </c>
      <c r="G62" s="4" t="s">
        <v>30</v>
      </c>
      <c r="H62" s="5" t="n">
        <f>700.0</f>
        <v>700.0</v>
      </c>
    </row>
    <row r="63">
      <c r="A63" s="3" t="s">
        <v>82</v>
      </c>
      <c r="B63" s="4" t="s">
        <v>85</v>
      </c>
      <c r="C63" s="4" t="s">
        <v>86</v>
      </c>
      <c r="D63" s="3" t="n">
        <v>1.0</v>
      </c>
      <c r="E63" s="4" t="s">
        <v>46</v>
      </c>
      <c r="F63" s="4" t="s">
        <v>47</v>
      </c>
      <c r="G63" s="4" t="s">
        <v>48</v>
      </c>
      <c r="H63" s="5" t="n">
        <f>700.0</f>
        <v>700.0</v>
      </c>
    </row>
    <row r="64">
      <c r="A64" s="3" t="s">
        <v>87</v>
      </c>
      <c r="B64" s="4" t="s">
        <v>88</v>
      </c>
      <c r="C64" s="4" t="s">
        <v>89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8.0</f>
        <v>8.0</v>
      </c>
    </row>
    <row r="65">
      <c r="A65" s="3" t="s">
        <v>87</v>
      </c>
      <c r="B65" s="4" t="s">
        <v>90</v>
      </c>
      <c r="C65" s="4" t="s">
        <v>91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8.0</f>
        <v>8.0</v>
      </c>
    </row>
    <row r="66">
      <c r="A66" s="3" t="s">
        <v>87</v>
      </c>
      <c r="B66" s="4" t="s">
        <v>90</v>
      </c>
      <c r="C66" s="4" t="s">
        <v>91</v>
      </c>
      <c r="D66" s="3" t="n">
        <v>2.0</v>
      </c>
      <c r="E66" s="4" t="s">
        <v>40</v>
      </c>
      <c r="F66" s="4" t="s">
        <v>41</v>
      </c>
      <c r="G66" s="4" t="s">
        <v>42</v>
      </c>
      <c r="H66" s="5" t="n">
        <f>4.0</f>
        <v>4.0</v>
      </c>
    </row>
    <row r="67">
      <c r="A67" s="3" t="s">
        <v>87</v>
      </c>
      <c r="B67" s="4" t="s">
        <v>92</v>
      </c>
      <c r="C67" s="4" t="s">
        <v>93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2.0</f>
        <v>2.0</v>
      </c>
    </row>
    <row r="68">
      <c r="A68" s="3" t="s">
        <v>87</v>
      </c>
      <c r="B68" s="4" t="s">
        <v>94</v>
      </c>
      <c r="C68" s="4" t="s">
        <v>95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