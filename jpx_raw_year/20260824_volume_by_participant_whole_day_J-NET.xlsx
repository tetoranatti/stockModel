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<sst xmlns="http://schemas.openxmlformats.org/spreadsheetml/2006/main" count="430" uniqueCount="97">
  <si>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</si>
  <si>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</si>
  <si>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</si>
  <si>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</si>
  <si>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</si>
  <si>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</si>
  <si>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</si>
  <si>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</si>
  <si>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</si>
  <si>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20260824</t>
  </si>
  <si>
    <t>NK225F</t>
  </si>
  <si>
    <t>161090018</t>
  </si>
  <si>
    <t>NIKKEI 225 FUT 2609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</si>
  <si>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</si>
  <si>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</si>
  <si>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</si>
  <si>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</si>
  <si>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</si>
  <si>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</si>
  <si>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</si>
  <si>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</si>
  <si>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</si>
  <si>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</si>
  <si>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</si>
  <si>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</si>
  <si>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</si>
  <si>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</si>
  <si>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</si>
  <si>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</si>
  <si>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</si>
  <si>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</si>
  <si>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11560</t>
  </si>
  <si>
    <t>ゴールドマン証券</t>
  </si>
  <si>
    <t>Goldman Sachs Japan</t>
  </si>
  <si>
    <t>12057</t>
  </si>
  <si>
    <t>楽天証券</t>
  </si>
  <si>
    <t>Rakuten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</si>
  <si>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</si>
  <si>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</si>
  <si>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</si>
  <si>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</si>
  <si>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</si>
  <si>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</si>
  <si>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</si>
  <si>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</si>
  <si>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</si>
  <si>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</si>
  <si>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</si>
  <si>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</si>
  <si>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</si>
  <si>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</si>
  <si>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</si>
  <si>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</si>
  <si>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</si>
  <si>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</si>
  <si>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</si>
  <si>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</si>
  <si>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</si>
  <si>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</si>
  <si>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</si>
  <si>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</si>
  <si>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</si>
  <si>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</si>
  <si>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</si>
  <si>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</si>
  <si>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</si>
  <si>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</si>
  <si>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</si>
  <si>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</si>
  <si>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</si>
  <si>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11696</t>
  </si>
  <si>
    <t>みずほ証券</t>
  </si>
  <si>
    <t>Mizuho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</si>
  <si>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</si>
  <si>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</si>
  <si>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</si>
  <si>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</si>
  <si>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</si>
  <si>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</si>
  <si>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</si>
  <si>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</si>
  <si>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</si>
  <si>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</si>
  <si>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</si>
  <si>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</si>
  <si>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</si>
  <si>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161120005</t>
  </si>
  <si>
    <t>TOPIX FUT 2612</t>
  </si>
  <si>
    <t>NK225E</t>
  </si>
  <si>
    <t>181214518</t>
  </si>
  <si>
    <t>NIKKEI 225 OOP P2609-64500</t>
  </si>
  <si>
    <t>131335018</t>
  </si>
  <si>
    <t>NIKKEI 225 OOP P2609-65000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</si>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</sst>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1298.0</f>
        <v>1298.0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1166.0</f>
        <v>1166.0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1093.0</f>
        <v>1093.0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996.0</f>
        <v>996.0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875.0</f>
        <v>875.0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481.0</f>
        <v>481.0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400.0</f>
        <v>400.0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306.0</f>
        <v>306.0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152.0</f>
        <v>152.0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88.0</f>
        <v>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75.0</f>
        <v>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71.0</f>
        <v>71.0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51.0</f>
        <v>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37.0</f>
        <v>37.0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30.0</f>
        <v>30.0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30.0</f>
        <v>30.0</v>
      </c>
    </row>
    <row r="25">
      <c r="A25" s="3" t="s">
        <v>10</v>
      </c>
      <c r="B25" s="4" t="s">
        <v>11</v>
      </c>
      <c r="C25" s="4" t="s">
        <v>12</v>
      </c>
      <c r="D25" s="3" t="n">
        <v>15.0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27.0</f>
        <v>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14.0</f>
        <v>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900.0</f>
        <v>900.0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500.0</f>
        <v>500.0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4.0</f>
        <v>4.0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27548.0</f>
        <v>27548.0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34</v>
      </c>
      <c r="F37" s="4" t="s">
        <v>35</v>
      </c>
      <c r="G37" s="4" t="s">
        <v>36</v>
      </c>
      <c r="H37" s="5" t="n">
        <f>14942.0</f>
        <v>14942.0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55</v>
      </c>
      <c r="F38" s="4" t="s">
        <v>56</v>
      </c>
      <c r="G38" s="4" t="s">
        <v>57</v>
      </c>
      <c r="H38" s="5" t="n">
        <f>3230.0</f>
        <v>3230.0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13</v>
      </c>
      <c r="F39" s="4" t="s">
        <v>14</v>
      </c>
      <c r="G39" s="4" t="s">
        <v>15</v>
      </c>
      <c r="H39" s="5" t="n">
        <f>48.0</f>
        <v>48.0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58</v>
      </c>
      <c r="F40" s="4" t="s">
        <v>59</v>
      </c>
      <c r="G40" s="4" t="s">
        <v>60</v>
      </c>
      <c r="H40" s="5" t="n">
        <f>30.0</f>
        <v>30.0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31</v>
      </c>
      <c r="F41" s="4" t="s">
        <v>32</v>
      </c>
      <c r="G41" s="4" t="s">
        <v>33</v>
      </c>
      <c r="H41" s="5" t="n">
        <f>28.0</f>
        <v>28.0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61</v>
      </c>
      <c r="F42" s="4" t="s">
        <v>62</v>
      </c>
      <c r="G42" s="4" t="s">
        <v>63</v>
      </c>
      <c r="H42" s="5" t="n">
        <f>4.0</f>
        <v>4.0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48.0</f>
        <v>48.0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55</v>
      </c>
      <c r="F44" s="4" t="s">
        <v>56</v>
      </c>
      <c r="G44" s="4" t="s">
        <v>57</v>
      </c>
      <c r="H44" s="5" t="n">
        <f>8.0</f>
        <v>8.0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34</v>
      </c>
      <c r="F45" s="4" t="s">
        <v>35</v>
      </c>
      <c r="G45" s="4" t="s">
        <v>36</v>
      </c>
      <c r="H45" s="5" t="n">
        <f>6.0</f>
        <v>6.0</v>
      </c>
    </row>
    <row r="46">
      <c r="A46" s="3" t="s">
        <v>80</v>
      </c>
      <c r="B46" s="4" t="s">
        <v>81</v>
      </c>
      <c r="C46" s="4" t="s">
        <v>82</v>
      </c>
      <c r="D46" s="3" t="n">
        <v>1.0</v>
      </c>
      <c r="E46" s="4" t="s">
        <v>31</v>
      </c>
      <c r="F46" s="4" t="s">
        <v>32</v>
      </c>
      <c r="G46" s="4" t="s">
        <v>33</v>
      </c>
      <c r="H46" s="5" t="n">
        <f>4591.0</f>
        <v>4591.0</v>
      </c>
    </row>
    <row r="47">
      <c r="A47" s="3" t="s">
        <v>80</v>
      </c>
      <c r="B47" s="4" t="s">
        <v>81</v>
      </c>
      <c r="C47" s="4" t="s">
        <v>82</v>
      </c>
      <c r="D47" s="3" t="n">
        <v>2.0</v>
      </c>
      <c r="E47" s="4" t="s">
        <v>13</v>
      </c>
      <c r="F47" s="4" t="s">
        <v>14</v>
      </c>
      <c r="G47" s="4" t="s">
        <v>15</v>
      </c>
      <c r="H47" s="5" t="n">
        <f>1234.0</f>
        <v>1234.0</v>
      </c>
    </row>
    <row r="48">
      <c r="A48" s="3" t="s">
        <v>80</v>
      </c>
      <c r="B48" s="4" t="s">
        <v>81</v>
      </c>
      <c r="C48" s="4" t="s">
        <v>82</v>
      </c>
      <c r="D48" s="3" t="n">
        <v>3.0</v>
      </c>
      <c r="E48" s="4" t="s">
        <v>83</v>
      </c>
      <c r="F48" s="4" t="s">
        <v>84</v>
      </c>
      <c r="G48" s="4" t="s">
        <v>85</v>
      </c>
      <c r="H48" s="5" t="n">
        <f>1007.0</f>
        <v>1007.0</v>
      </c>
    </row>
    <row r="49">
      <c r="A49" s="3" t="s">
        <v>80</v>
      </c>
      <c r="B49" s="4" t="s">
        <v>81</v>
      </c>
      <c r="C49" s="4" t="s">
        <v>82</v>
      </c>
      <c r="D49" s="3" t="n">
        <v>4.0</v>
      </c>
      <c r="E49" s="4" t="s">
        <v>19</v>
      </c>
      <c r="F49" s="4" t="s">
        <v>20</v>
      </c>
      <c r="G49" s="4" t="s">
        <v>21</v>
      </c>
      <c r="H49" s="5" t="n">
        <f>900.0</f>
        <v>900.0</v>
      </c>
    </row>
    <row r="50">
      <c r="A50" s="3" t="s">
        <v>80</v>
      </c>
      <c r="B50" s="4" t="s">
        <v>81</v>
      </c>
      <c r="C50" s="4" t="s">
        <v>82</v>
      </c>
      <c r="D50" s="3" t="n">
        <v>5.0</v>
      </c>
      <c r="E50" s="4" t="s">
        <v>16</v>
      </c>
      <c r="F50" s="4" t="s">
        <v>17</v>
      </c>
      <c r="G50" s="4" t="s">
        <v>18</v>
      </c>
      <c r="H50" s="5" t="n">
        <f>589.0</f>
        <v>589.0</v>
      </c>
    </row>
    <row r="51">
      <c r="A51" s="3" t="s">
        <v>80</v>
      </c>
      <c r="B51" s="4" t="s">
        <v>81</v>
      </c>
      <c r="C51" s="4" t="s">
        <v>82</v>
      </c>
      <c r="D51" s="3" t="n">
        <v>6.0</v>
      </c>
      <c r="E51" s="4" t="s">
        <v>28</v>
      </c>
      <c r="F51" s="4" t="s">
        <v>29</v>
      </c>
      <c r="G51" s="4" t="s">
        <v>30</v>
      </c>
      <c r="H51" s="5" t="n">
        <f>552.0</f>
        <v>552.0</v>
      </c>
    </row>
    <row r="52">
      <c r="A52" s="3" t="s">
        <v>80</v>
      </c>
      <c r="B52" s="4" t="s">
        <v>81</v>
      </c>
      <c r="C52" s="4" t="s">
        <v>82</v>
      </c>
      <c r="D52" s="3" t="n">
        <v>7.0</v>
      </c>
      <c r="E52" s="4" t="s">
        <v>49</v>
      </c>
      <c r="F52" s="4" t="s">
        <v>50</v>
      </c>
      <c r="G52" s="4" t="s">
        <v>51</v>
      </c>
      <c r="H52" s="5" t="n">
        <f>520.0</f>
        <v>520.0</v>
      </c>
    </row>
    <row r="53">
      <c r="A53" s="3" t="s">
        <v>80</v>
      </c>
      <c r="B53" s="4" t="s">
        <v>81</v>
      </c>
      <c r="C53" s="4" t="s">
        <v>82</v>
      </c>
      <c r="D53" s="3" t="n">
        <v>8.0</v>
      </c>
      <c r="E53" s="4" t="s">
        <v>58</v>
      </c>
      <c r="F53" s="4" t="s">
        <v>59</v>
      </c>
      <c r="G53" s="4" t="s">
        <v>60</v>
      </c>
      <c r="H53" s="5" t="n">
        <f>514.0</f>
        <v>514.0</v>
      </c>
    </row>
    <row r="54">
      <c r="A54" s="3" t="s">
        <v>80</v>
      </c>
      <c r="B54" s="4" t="s">
        <v>81</v>
      </c>
      <c r="C54" s="4" t="s">
        <v>82</v>
      </c>
      <c r="D54" s="3" t="n">
        <v>9.0</v>
      </c>
      <c r="E54" s="4" t="s">
        <v>70</v>
      </c>
      <c r="F54" s="4" t="s">
        <v>71</v>
      </c>
      <c r="G54" s="4" t="s">
        <v>72</v>
      </c>
      <c r="H54" s="5" t="n">
        <f>383.0</f>
        <v>383.0</v>
      </c>
    </row>
    <row r="55">
      <c r="A55" s="3" t="s">
        <v>80</v>
      </c>
      <c r="B55" s="4" t="s">
        <v>81</v>
      </c>
      <c r="C55" s="4" t="s">
        <v>82</v>
      </c>
      <c r="D55" s="3" t="n">
        <v>10.0</v>
      </c>
      <c r="E55" s="4" t="s">
        <v>64</v>
      </c>
      <c r="F55" s="4" t="s">
        <v>65</v>
      </c>
      <c r="G55" s="4" t="s">
        <v>66</v>
      </c>
      <c r="H55" s="5" t="n">
        <f>370.0</f>
        <v>370.0</v>
      </c>
    </row>
    <row r="56">
      <c r="A56" s="3" t="s">
        <v>80</v>
      </c>
      <c r="B56" s="4" t="s">
        <v>81</v>
      </c>
      <c r="C56" s="4" t="s">
        <v>82</v>
      </c>
      <c r="D56" s="3" t="n">
        <v>11.0</v>
      </c>
      <c r="E56" s="4" t="s">
        <v>46</v>
      </c>
      <c r="F56" s="4" t="s">
        <v>47</v>
      </c>
      <c r="G56" s="4" t="s">
        <v>48</v>
      </c>
      <c r="H56" s="5" t="n">
        <f>304.0</f>
        <v>304.0</v>
      </c>
    </row>
    <row r="57">
      <c r="A57" s="3" t="s">
        <v>80</v>
      </c>
      <c r="B57" s="4" t="s">
        <v>81</v>
      </c>
      <c r="C57" s="4" t="s">
        <v>82</v>
      </c>
      <c r="D57" s="3" t="n">
        <v>12.0</v>
      </c>
      <c r="E57" s="4" t="s">
        <v>25</v>
      </c>
      <c r="F57" s="4" t="s">
        <v>26</v>
      </c>
      <c r="G57" s="4" t="s">
        <v>27</v>
      </c>
      <c r="H57" s="5" t="n">
        <f>162.0</f>
        <v>162.0</v>
      </c>
    </row>
    <row r="58">
      <c r="A58" s="3" t="s">
        <v>80</v>
      </c>
      <c r="B58" s="4" t="s">
        <v>81</v>
      </c>
      <c r="C58" s="4" t="s">
        <v>82</v>
      </c>
      <c r="D58" s="3" t="n">
        <v>13.0</v>
      </c>
      <c r="E58" s="4" t="s">
        <v>22</v>
      </c>
      <c r="F58" s="4" t="s">
        <v>23</v>
      </c>
      <c r="G58" s="4" t="s">
        <v>24</v>
      </c>
      <c r="H58" s="5" t="n">
        <f>90.0</f>
        <v>90.0</v>
      </c>
    </row>
    <row r="59">
      <c r="A59" s="3" t="s">
        <v>80</v>
      </c>
      <c r="B59" s="4" t="s">
        <v>81</v>
      </c>
      <c r="C59" s="4" t="s">
        <v>82</v>
      </c>
      <c r="D59" s="3" t="n">
        <v>14.0</v>
      </c>
      <c r="E59" s="4" t="s">
        <v>40</v>
      </c>
      <c r="F59" s="4" t="s">
        <v>41</v>
      </c>
      <c r="G59" s="4" t="s">
        <v>42</v>
      </c>
      <c r="H59" s="5" t="n">
        <f>14.0</f>
        <v>14.0</v>
      </c>
    </row>
    <row r="60">
      <c r="A60" s="3" t="s">
        <v>80</v>
      </c>
      <c r="B60" s="4" t="s">
        <v>81</v>
      </c>
      <c r="C60" s="4" t="s">
        <v>82</v>
      </c>
      <c r="D60" s="3" t="n">
        <v>15.0</v>
      </c>
      <c r="E60" s="4" t="s">
        <v>55</v>
      </c>
      <c r="F60" s="4" t="s">
        <v>56</v>
      </c>
      <c r="G60" s="4" t="s">
        <v>57</v>
      </c>
      <c r="H60" s="5" t="n">
        <f>6.0</f>
        <v>6.0</v>
      </c>
    </row>
    <row r="61">
      <c r="A61" s="3" t="s">
        <v>80</v>
      </c>
      <c r="B61" s="4" t="s">
        <v>86</v>
      </c>
      <c r="C61" s="4" t="s">
        <v>87</v>
      </c>
      <c r="D61" s="3" t="n">
        <v>1.0</v>
      </c>
      <c r="E61" s="4" t="s">
        <v>19</v>
      </c>
      <c r="F61" s="4" t="s">
        <v>20</v>
      </c>
      <c r="G61" s="4" t="s">
        <v>21</v>
      </c>
      <c r="H61" s="5" t="n">
        <f>900.0</f>
        <v>900.0</v>
      </c>
    </row>
    <row r="62">
      <c r="A62" s="3" t="s">
        <v>80</v>
      </c>
      <c r="B62" s="4" t="s">
        <v>86</v>
      </c>
      <c r="C62" s="4" t="s">
        <v>87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900.0</f>
        <v>900.0</v>
      </c>
    </row>
    <row r="63">
      <c r="A63" s="3" t="s">
        <v>80</v>
      </c>
      <c r="B63" s="4" t="s">
        <v>86</v>
      </c>
      <c r="C63" s="4" t="s">
        <v>87</v>
      </c>
      <c r="D63" s="3" t="n">
        <v>3.0</v>
      </c>
      <c r="E63" s="4" t="s">
        <v>83</v>
      </c>
      <c r="F63" s="4" t="s">
        <v>84</v>
      </c>
      <c r="G63" s="4" t="s">
        <v>85</v>
      </c>
      <c r="H63" s="5" t="n">
        <f>600.0</f>
        <v>600.0</v>
      </c>
    </row>
    <row r="64">
      <c r="A64" s="3" t="s">
        <v>80</v>
      </c>
      <c r="B64" s="4" t="s">
        <v>86</v>
      </c>
      <c r="C64" s="4" t="s">
        <v>87</v>
      </c>
      <c r="D64" s="3" t="n">
        <v>4.0</v>
      </c>
      <c r="E64" s="4" t="s">
        <v>28</v>
      </c>
      <c r="F64" s="4" t="s">
        <v>29</v>
      </c>
      <c r="G64" s="4" t="s">
        <v>30</v>
      </c>
      <c r="H64" s="5" t="n">
        <f>500.0</f>
        <v>500.0</v>
      </c>
    </row>
    <row r="65">
      <c r="A65" s="3" t="s">
        <v>80</v>
      </c>
      <c r="B65" s="4" t="s">
        <v>86</v>
      </c>
      <c r="C65" s="4" t="s">
        <v>87</v>
      </c>
      <c r="D65" s="3" t="n">
        <v>5.0</v>
      </c>
      <c r="E65" s="4" t="s">
        <v>46</v>
      </c>
      <c r="F65" s="4" t="s">
        <v>47</v>
      </c>
      <c r="G65" s="4" t="s">
        <v>48</v>
      </c>
      <c r="H65" s="5" t="n">
        <f>300.0</f>
        <v>300.0</v>
      </c>
    </row>
    <row r="66">
      <c r="A66" s="3" t="s">
        <v>80</v>
      </c>
      <c r="B66" s="4" t="s">
        <v>86</v>
      </c>
      <c r="C66" s="4" t="s">
        <v>87</v>
      </c>
      <c r="D66" s="3" t="n">
        <v>6.0</v>
      </c>
      <c r="E66" s="4" t="s">
        <v>16</v>
      </c>
      <c r="F66" s="4" t="s">
        <v>17</v>
      </c>
      <c r="G66" s="4" t="s">
        <v>18</v>
      </c>
      <c r="H66" s="5" t="n">
        <f>200.0</f>
        <v>200.0</v>
      </c>
    </row>
    <row r="67">
      <c r="A67" s="3" t="s">
        <v>88</v>
      </c>
      <c r="B67" s="4" t="s">
        <v>89</v>
      </c>
      <c r="C67" s="4" t="s">
        <v>90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200.0</f>
        <v>200.0</v>
      </c>
    </row>
    <row r="68">
      <c r="A68" s="3" t="s">
        <v>88</v>
      </c>
      <c r="B68" s="4" t="s">
        <v>89</v>
      </c>
      <c r="C68" s="4" t="s">
        <v>90</v>
      </c>
      <c r="D68" s="3" t="n">
        <v>2.0</v>
      </c>
      <c r="E68" s="4" t="s">
        <v>19</v>
      </c>
      <c r="F68" s="4" t="s">
        <v>20</v>
      </c>
      <c r="G68" s="4" t="s">
        <v>21</v>
      </c>
      <c r="H68" s="5" t="n">
        <f>100.0</f>
        <v>100.0</v>
      </c>
    </row>
    <row r="69">
      <c r="A69" s="3" t="s">
        <v>88</v>
      </c>
      <c r="B69" s="4" t="s">
        <v>89</v>
      </c>
      <c r="C69" s="4" t="s">
        <v>90</v>
      </c>
      <c r="D69" s="3" t="n">
        <v>2.0</v>
      </c>
      <c r="E69" s="4" t="s">
        <v>40</v>
      </c>
      <c r="F69" s="4" t="s">
        <v>41</v>
      </c>
      <c r="G69" s="4" t="s">
        <v>42</v>
      </c>
      <c r="H69" s="5" t="n">
        <f>100.0</f>
        <v>100.0</v>
      </c>
    </row>
    <row r="70">
      <c r="A70" s="3" t="s">
        <v>88</v>
      </c>
      <c r="B70" s="4" t="s">
        <v>89</v>
      </c>
      <c r="C70" s="4" t="s">
        <v>90</v>
      </c>
      <c r="D70" s="3" t="n">
        <v>4.0</v>
      </c>
      <c r="E70" s="4" t="s">
        <v>34</v>
      </c>
      <c r="F70" s="4" t="s">
        <v>35</v>
      </c>
      <c r="G70" s="4" t="s">
        <v>36</v>
      </c>
      <c r="H70" s="5" t="n">
        <f>6.0</f>
        <v>6.0</v>
      </c>
    </row>
    <row r="71">
      <c r="A71" s="3" t="s">
        <v>88</v>
      </c>
      <c r="B71" s="4" t="s">
        <v>91</v>
      </c>
      <c r="C71" s="4" t="s">
        <v>92</v>
      </c>
      <c r="D71" s="3" t="n">
        <v>1.0</v>
      </c>
      <c r="E71" s="4" t="s">
        <v>19</v>
      </c>
      <c r="F71" s="4" t="s">
        <v>20</v>
      </c>
      <c r="G71" s="4" t="s">
        <v>21</v>
      </c>
      <c r="H71" s="5" t="n">
        <f>200.0</f>
        <v>200.0</v>
      </c>
    </row>
    <row r="72">
      <c r="A72" s="3" t="s">
        <v>88</v>
      </c>
      <c r="B72" s="4" t="s">
        <v>91</v>
      </c>
      <c r="C72" s="4" t="s">
        <v>92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200.0</f>
        <v>200.0</v>
      </c>
    </row>
    <row r="73">
      <c r="A73" s="3" t="s">
        <v>88</v>
      </c>
      <c r="B73" s="4" t="s">
        <v>91</v>
      </c>
      <c r="C73" s="4" t="s">
        <v>92</v>
      </c>
      <c r="D73" s="3" t="n">
        <v>3.0</v>
      </c>
      <c r="E73" s="4" t="s">
        <v>31</v>
      </c>
      <c r="F73" s="4" t="s">
        <v>32</v>
      </c>
      <c r="G73" s="4" t="s">
        <v>33</v>
      </c>
      <c r="H73" s="5" t="n">
        <f>100.0</f>
        <v>100.0</v>
      </c>
    </row>
    <row r="74">
      <c r="A74" s="3" t="s">
        <v>88</v>
      </c>
      <c r="B74" s="4" t="s">
        <v>91</v>
      </c>
      <c r="C74" s="4" t="s">
        <v>92</v>
      </c>
      <c r="D74" s="3" t="n">
        <v>3.0</v>
      </c>
      <c r="E74" s="4" t="s">
        <v>16</v>
      </c>
      <c r="F74" s="4" t="s">
        <v>17</v>
      </c>
      <c r="G74" s="4" t="s">
        <v>18</v>
      </c>
      <c r="H74" s="5" t="n">
        <f>100.0</f>
        <v>100.0</v>
      </c>
    </row>
    <row r="75">
      <c r="A75" s="3" t="s">
        <v>88</v>
      </c>
      <c r="B75" s="4" t="s">
        <v>91</v>
      </c>
      <c r="C75" s="4" t="s">
        <v>92</v>
      </c>
      <c r="D75" s="3" t="n">
        <v>5.0</v>
      </c>
      <c r="E75" s="4" t="s">
        <v>34</v>
      </c>
      <c r="F75" s="4" t="s">
        <v>35</v>
      </c>
      <c r="G75" s="4" t="s">
        <v>36</v>
      </c>
      <c r="H75" s="5" t="n">
        <f>8.0</f>
        <v>8.0</v>
      </c>
    </row>
    <row r="76">
      <c r="A76" s="3" t="s">
        <v>88</v>
      </c>
      <c r="B76" s="4" t="s">
        <v>93</v>
      </c>
      <c r="C76" s="4" t="s">
        <v>94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200.0</f>
        <v>200.0</v>
      </c>
    </row>
    <row r="77">
      <c r="A77" s="3" t="s">
        <v>88</v>
      </c>
      <c r="B77" s="4" t="s">
        <v>93</v>
      </c>
      <c r="C77" s="4" t="s">
        <v>94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200.0</f>
        <v>200.0</v>
      </c>
    </row>
    <row r="78">
      <c r="A78" s="3" t="s">
        <v>88</v>
      </c>
      <c r="B78" s="4" t="s">
        <v>95</v>
      </c>
      <c r="C78" s="4" t="s">
        <v>96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