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<sst xmlns="http://schemas.openxmlformats.org/spreadsheetml/2006/main" count="436" uniqueCount="103">
  <si>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</si>
  <si>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</si>
  <si>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</si>
  <si>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</si>
  <si>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</si>
  <si>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</si>
  <si>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</si>
  <si>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</si>
  <si>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</si>
  <si>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20260817</t>
  </si>
  <si>
    <t>NK225F</t>
  </si>
  <si>
    <t>161090018</t>
  </si>
  <si>
    <t>NIKKEI 225 FUT 2609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</si>
  <si>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</si>
  <si>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</si>
  <si>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</si>
  <si>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</si>
  <si>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</si>
  <si>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</si>
  <si>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</si>
  <si>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</si>
  <si>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</si>
  <si>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</si>
  <si>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</si>
  <si>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</si>
  <si>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</si>
  <si>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</si>
  <si>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</si>
  <si>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</si>
  <si>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</si>
  <si>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</si>
  <si>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</si>
  <si>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</si>
  <si>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</si>
  <si>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</si>
  <si>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</si>
  <si>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</si>
  <si>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</si>
  <si>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</si>
  <si>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</si>
  <si>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</si>
  <si>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</si>
  <si>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</si>
  <si>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</si>
  <si>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</si>
  <si>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</si>
  <si>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12000</t>
  </si>
  <si>
    <t>大和証券</t>
  </si>
  <si>
    <t>Daiwa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</si>
  <si>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</si>
  <si>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</si>
  <si>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</si>
  <si>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</si>
  <si>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</si>
  <si>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</si>
  <si>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11560</t>
  </si>
  <si>
    <t>ゴールドマン証券</t>
  </si>
  <si>
    <t>Goldman Sachs Japan</t>
  </si>
  <si>
    <t>12072</t>
  </si>
  <si>
    <t>東海東京証券</t>
  </si>
  <si>
    <t>Tokai Tokyo Securities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</si>
  <si>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</si>
  <si>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</si>
  <si>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</si>
  <si>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</si>
  <si>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</si>
  <si>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</si>
  <si>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</si>
  <si>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</si>
  <si>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</si>
  <si>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12328</t>
  </si>
  <si>
    <t>ＳＭＢＣ日興証券</t>
  </si>
  <si>
    <t>SMBC Nikko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</si>
  <si>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</si>
  <si>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</si>
  <si>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</si>
  <si>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</si>
  <si>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</si>
  <si>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</si>
  <si>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</si>
  <si>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</si>
  <si>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</si>
  <si>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</si>
  <si>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</si>
  <si>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</si>
  <si>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11520</t>
  </si>
  <si>
    <t>三菱ＵＦＪ証券</t>
  </si>
  <si>
    <t>Mitsubishi UFJ Morgan Stanley Securities</t>
  </si>
  <si>
    <t>161120005</t>
  </si>
  <si>
    <t>TOPIX FUT 2612</t>
  </si>
  <si>
    <t>NK225E</t>
  </si>
  <si>
    <t>131338718</t>
  </si>
  <si>
    <t>NIKKEI 225 OOP P2609-68750</t>
  </si>
  <si>
    <t>131339018</t>
  </si>
  <si>
    <t>NIKKEI 225 OOP P2609-69000</t>
  </si>
  <si>
    <t>141330218</t>
  </si>
  <si>
    <t>NIKKEI 225 OOP C2609-70250</t>
  </si>
  <si>
    <t>141330018</t>
  </si>
  <si>
    <t>NIKKEI 225 OOP C2609-70000</t>
  </si>
  <si>
    <t>141339718</t>
  </si>
  <si>
    <t>NIKKEI 225 OOP C2609-69750</t>
  </si>
  <si>
    <t>141339018</t>
  </si>
  <si>
    <t>NIKKEI 225 OOP C2609-69000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</si>
</sst>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2898.0</f>
        <v>2898.0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1641.0</f>
        <v>1641.0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963.0</f>
        <v>963.0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710.0</f>
        <v>710.0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599.0</f>
        <v>599.0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430.0</f>
        <v>430.0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388.0</f>
        <v>388.0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370.0</f>
        <v>370.0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322.0</f>
        <v>322.0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271.0</f>
        <v>271.0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220.0</f>
        <v>220.0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199.0</f>
        <v>199.0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195.0</f>
        <v>195.0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131.0</f>
        <v>131.0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127.0</f>
        <v>127.0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60.0</f>
        <v>60.0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32.0</f>
        <v>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22.0</f>
        <v>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16.0</f>
        <v>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14.0</f>
        <v>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150.0</f>
        <v>150.0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18.0</f>
        <v>18.0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64</v>
      </c>
      <c r="F35" s="4" t="s">
        <v>65</v>
      </c>
      <c r="G35" s="4" t="s">
        <v>66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31</v>
      </c>
      <c r="F36" s="4" t="s">
        <v>32</v>
      </c>
      <c r="G36" s="4" t="s">
        <v>33</v>
      </c>
      <c r="H36" s="5" t="n">
        <f>23700.0</f>
        <v>23700.0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37</v>
      </c>
      <c r="F37" s="4" t="s">
        <v>38</v>
      </c>
      <c r="G37" s="4" t="s">
        <v>39</v>
      </c>
      <c r="H37" s="5" t="n">
        <f>13956.0</f>
        <v>13956.0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2776.0</f>
        <v>2776.0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16</v>
      </c>
      <c r="F39" s="4" t="s">
        <v>17</v>
      </c>
      <c r="G39" s="4" t="s">
        <v>18</v>
      </c>
      <c r="H39" s="5" t="n">
        <f>46.0</f>
        <v>46.0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55</v>
      </c>
      <c r="F40" s="4" t="s">
        <v>56</v>
      </c>
      <c r="G40" s="4" t="s">
        <v>57</v>
      </c>
      <c r="H40" s="5" t="n">
        <f>42.0</f>
        <v>42.0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52</v>
      </c>
      <c r="F41" s="4" t="s">
        <v>53</v>
      </c>
      <c r="G41" s="4" t="s">
        <v>54</v>
      </c>
      <c r="H41" s="5" t="n">
        <f>34.0</f>
        <v>34.0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70</v>
      </c>
      <c r="F42" s="4" t="s">
        <v>71</v>
      </c>
      <c r="G42" s="4" t="s">
        <v>72</v>
      </c>
      <c r="H42" s="5" t="n">
        <f>26.0</f>
        <v>26.0</v>
      </c>
    </row>
    <row r="43">
      <c r="A43" s="3" t="s">
        <v>75</v>
      </c>
      <c r="B43" s="4" t="s">
        <v>76</v>
      </c>
      <c r="C43" s="4" t="s">
        <v>77</v>
      </c>
      <c r="D43" s="3" t="n">
        <v>8.0</v>
      </c>
      <c r="E43" s="4" t="s">
        <v>22</v>
      </c>
      <c r="F43" s="4" t="s">
        <v>23</v>
      </c>
      <c r="G43" s="4" t="s">
        <v>24</v>
      </c>
      <c r="H43" s="5" t="n">
        <f>2.0</f>
        <v>2.0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19</v>
      </c>
      <c r="F44" s="4" t="s">
        <v>20</v>
      </c>
      <c r="G44" s="4" t="s">
        <v>21</v>
      </c>
      <c r="H44" s="5" t="n">
        <f>2.0</f>
        <v>2.0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2000.0</f>
        <v>2000.0</v>
      </c>
    </row>
    <row r="46">
      <c r="A46" s="3" t="s">
        <v>75</v>
      </c>
      <c r="B46" s="4" t="s">
        <v>78</v>
      </c>
      <c r="C46" s="4" t="s">
        <v>79</v>
      </c>
      <c r="D46" s="3" t="n">
        <v>2.0</v>
      </c>
      <c r="E46" s="4" t="s">
        <v>31</v>
      </c>
      <c r="F46" s="4" t="s">
        <v>32</v>
      </c>
      <c r="G46" s="4" t="s">
        <v>33</v>
      </c>
      <c r="H46" s="5" t="n">
        <f>52.0</f>
        <v>52.0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37</v>
      </c>
      <c r="F47" s="4" t="s">
        <v>38</v>
      </c>
      <c r="G47" s="4" t="s">
        <v>39</v>
      </c>
      <c r="H47" s="5" t="n">
        <f>38.0</f>
        <v>38.0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64</v>
      </c>
      <c r="F48" s="4" t="s">
        <v>65</v>
      </c>
      <c r="G48" s="4" t="s">
        <v>66</v>
      </c>
      <c r="H48" s="5" t="n">
        <f>18.0</f>
        <v>18.0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64</v>
      </c>
      <c r="F49" s="4" t="s">
        <v>65</v>
      </c>
      <c r="G49" s="4" t="s">
        <v>66</v>
      </c>
      <c r="H49" s="5" t="n">
        <f>4.0</f>
        <v>4.0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34</v>
      </c>
      <c r="F50" s="4" t="s">
        <v>35</v>
      </c>
      <c r="G50" s="4" t="s">
        <v>36</v>
      </c>
      <c r="H50" s="5" t="n">
        <f>1274.0</f>
        <v>1274.0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55</v>
      </c>
      <c r="F51" s="4" t="s">
        <v>56</v>
      </c>
      <c r="G51" s="4" t="s">
        <v>57</v>
      </c>
      <c r="H51" s="5" t="n">
        <f>1159.0</f>
        <v>1159.0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22</v>
      </c>
      <c r="F52" s="4" t="s">
        <v>23</v>
      </c>
      <c r="G52" s="4" t="s">
        <v>24</v>
      </c>
      <c r="H52" s="5" t="n">
        <f>1157.0</f>
        <v>1157.0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25</v>
      </c>
      <c r="F53" s="4" t="s">
        <v>26</v>
      </c>
      <c r="G53" s="4" t="s">
        <v>27</v>
      </c>
      <c r="H53" s="5" t="n">
        <f>1119.0</f>
        <v>1119.0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16</v>
      </c>
      <c r="F54" s="4" t="s">
        <v>17</v>
      </c>
      <c r="G54" s="4" t="s">
        <v>18</v>
      </c>
      <c r="H54" s="5" t="n">
        <f>760.0</f>
        <v>760.0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19</v>
      </c>
      <c r="F55" s="4" t="s">
        <v>20</v>
      </c>
      <c r="G55" s="4" t="s">
        <v>21</v>
      </c>
      <c r="H55" s="5" t="n">
        <f>209.0</f>
        <v>209.0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28</v>
      </c>
      <c r="F56" s="4" t="s">
        <v>29</v>
      </c>
      <c r="G56" s="4" t="s">
        <v>30</v>
      </c>
      <c r="H56" s="5" t="n">
        <f>178.0</f>
        <v>178.0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46</v>
      </c>
      <c r="F57" s="4" t="s">
        <v>47</v>
      </c>
      <c r="G57" s="4" t="s">
        <v>48</v>
      </c>
      <c r="H57" s="5" t="n">
        <f>156.0</f>
        <v>156.0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31</v>
      </c>
      <c r="F58" s="4" t="s">
        <v>32</v>
      </c>
      <c r="G58" s="4" t="s">
        <v>33</v>
      </c>
      <c r="H58" s="5" t="n">
        <f>126.0</f>
        <v>126.0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85</v>
      </c>
      <c r="F59" s="4" t="s">
        <v>86</v>
      </c>
      <c r="G59" s="4" t="s">
        <v>87</v>
      </c>
      <c r="H59" s="5" t="n">
        <f>80.0</f>
        <v>80.0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13</v>
      </c>
      <c r="F60" s="4" t="s">
        <v>14</v>
      </c>
      <c r="G60" s="4" t="s">
        <v>15</v>
      </c>
      <c r="H60" s="5" t="n">
        <f>80.0</f>
        <v>80.0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70</v>
      </c>
      <c r="F61" s="4" t="s">
        <v>71</v>
      </c>
      <c r="G61" s="4" t="s">
        <v>72</v>
      </c>
      <c r="H61" s="5" t="n">
        <f>8.0</f>
        <v>8.0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64</v>
      </c>
      <c r="F62" s="4" t="s">
        <v>65</v>
      </c>
      <c r="G62" s="4" t="s">
        <v>66</v>
      </c>
      <c r="H62" s="5" t="n">
        <f>6.0</f>
        <v>6.0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52</v>
      </c>
      <c r="F63" s="4" t="s">
        <v>53</v>
      </c>
      <c r="G63" s="4" t="s">
        <v>54</v>
      </c>
      <c r="H63" s="5" t="n">
        <f>6.0</f>
        <v>6.0</v>
      </c>
    </row>
    <row r="64">
      <c r="A64" s="3" t="s">
        <v>82</v>
      </c>
      <c r="B64" s="4" t="s">
        <v>83</v>
      </c>
      <c r="C64" s="4" t="s">
        <v>84</v>
      </c>
      <c r="D64" s="3" t="n">
        <v>15.0</v>
      </c>
      <c r="E64" s="4" t="s">
        <v>49</v>
      </c>
      <c r="F64" s="4" t="s">
        <v>50</v>
      </c>
      <c r="G64" s="4" t="s">
        <v>51</v>
      </c>
      <c r="H64" s="5" t="n">
        <f>4.0</f>
        <v>4.0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43</v>
      </c>
      <c r="F65" s="4" t="s">
        <v>44</v>
      </c>
      <c r="G65" s="4" t="s">
        <v>45</v>
      </c>
      <c r="H65" s="5" t="n">
        <f>2.0</f>
        <v>2.0</v>
      </c>
    </row>
    <row r="66">
      <c r="A66" s="3" t="s">
        <v>82</v>
      </c>
      <c r="B66" s="4" t="s">
        <v>88</v>
      </c>
      <c r="C66" s="4" t="s">
        <v>89</v>
      </c>
      <c r="D66" s="3" t="n">
        <v>1.0</v>
      </c>
      <c r="E66" s="4" t="s">
        <v>34</v>
      </c>
      <c r="F66" s="4" t="s">
        <v>35</v>
      </c>
      <c r="G66" s="4" t="s">
        <v>36</v>
      </c>
      <c r="H66" s="5" t="n">
        <f>1100.0</f>
        <v>1100.0</v>
      </c>
    </row>
    <row r="67">
      <c r="A67" s="3" t="s">
        <v>82</v>
      </c>
      <c r="B67" s="4" t="s">
        <v>88</v>
      </c>
      <c r="C67" s="4" t="s">
        <v>89</v>
      </c>
      <c r="D67" s="3" t="n">
        <v>2.0</v>
      </c>
      <c r="E67" s="4" t="s">
        <v>25</v>
      </c>
      <c r="F67" s="4" t="s">
        <v>26</v>
      </c>
      <c r="G67" s="4" t="s">
        <v>27</v>
      </c>
      <c r="H67" s="5" t="n">
        <f>800.0</f>
        <v>800.0</v>
      </c>
    </row>
    <row r="68">
      <c r="A68" s="3" t="s">
        <v>82</v>
      </c>
      <c r="B68" s="4" t="s">
        <v>88</v>
      </c>
      <c r="C68" s="4" t="s">
        <v>89</v>
      </c>
      <c r="D68" s="3" t="n">
        <v>3.0</v>
      </c>
      <c r="E68" s="4" t="s">
        <v>16</v>
      </c>
      <c r="F68" s="4" t="s">
        <v>17</v>
      </c>
      <c r="G68" s="4" t="s">
        <v>18</v>
      </c>
      <c r="H68" s="5" t="n">
        <f>300.0</f>
        <v>300.0</v>
      </c>
    </row>
    <row r="69">
      <c r="A69" s="3" t="s">
        <v>90</v>
      </c>
      <c r="B69" s="4" t="s">
        <v>91</v>
      </c>
      <c r="C69" s="4" t="s">
        <v>92</v>
      </c>
      <c r="D69" s="3" t="n">
        <v>1.0</v>
      </c>
      <c r="E69" s="4" t="s">
        <v>34</v>
      </c>
      <c r="F69" s="4" t="s">
        <v>35</v>
      </c>
      <c r="G69" s="4" t="s">
        <v>36</v>
      </c>
      <c r="H69" s="5" t="n">
        <f>80.0</f>
        <v>80.0</v>
      </c>
    </row>
    <row r="70">
      <c r="A70" s="3" t="s">
        <v>90</v>
      </c>
      <c r="B70" s="4" t="s">
        <v>91</v>
      </c>
      <c r="C70" s="4" t="s">
        <v>92</v>
      </c>
      <c r="D70" s="3" t="n">
        <v>2.0</v>
      </c>
      <c r="E70" s="4" t="s">
        <v>31</v>
      </c>
      <c r="F70" s="4" t="s">
        <v>32</v>
      </c>
      <c r="G70" s="4" t="s">
        <v>33</v>
      </c>
      <c r="H70" s="5" t="n">
        <f>6.0</f>
        <v>6.0</v>
      </c>
    </row>
    <row r="71">
      <c r="A71" s="3" t="s">
        <v>90</v>
      </c>
      <c r="B71" s="4" t="s">
        <v>93</v>
      </c>
      <c r="C71" s="4" t="s">
        <v>94</v>
      </c>
      <c r="D71" s="3" t="n">
        <v>1.0</v>
      </c>
      <c r="E71" s="4" t="s">
        <v>40</v>
      </c>
      <c r="F71" s="4" t="s">
        <v>41</v>
      </c>
      <c r="G71" s="4" t="s">
        <v>42</v>
      </c>
      <c r="H71" s="5" t="n">
        <f>40.0</f>
        <v>40.0</v>
      </c>
    </row>
    <row r="72">
      <c r="A72" s="3" t="s">
        <v>90</v>
      </c>
      <c r="B72" s="4" t="s">
        <v>93</v>
      </c>
      <c r="C72" s="4" t="s">
        <v>94</v>
      </c>
      <c r="D72" s="3" t="n">
        <v>2.0</v>
      </c>
      <c r="E72" s="4" t="s">
        <v>37</v>
      </c>
      <c r="F72" s="4" t="s">
        <v>38</v>
      </c>
      <c r="G72" s="4" t="s">
        <v>39</v>
      </c>
      <c r="H72" s="5" t="n">
        <f>4.0</f>
        <v>4.0</v>
      </c>
    </row>
    <row r="73">
      <c r="A73" s="3" t="s">
        <v>90</v>
      </c>
      <c r="B73" s="4" t="s">
        <v>95</v>
      </c>
      <c r="C73" s="4" t="s">
        <v>96</v>
      </c>
      <c r="D73" s="3" t="n">
        <v>1.0</v>
      </c>
      <c r="E73" s="4" t="s">
        <v>28</v>
      </c>
      <c r="F73" s="4" t="s">
        <v>29</v>
      </c>
      <c r="G73" s="4" t="s">
        <v>30</v>
      </c>
      <c r="H73" s="5" t="n">
        <f>1216.0</f>
        <v>1216.0</v>
      </c>
    </row>
    <row r="74">
      <c r="A74" s="3" t="s">
        <v>90</v>
      </c>
      <c r="B74" s="4" t="s">
        <v>97</v>
      </c>
      <c r="C74" s="4" t="s">
        <v>98</v>
      </c>
      <c r="D74" s="3" t="n">
        <v>1.0</v>
      </c>
      <c r="E74" s="4" t="s">
        <v>31</v>
      </c>
      <c r="F74" s="4" t="s">
        <v>32</v>
      </c>
      <c r="G74" s="4" t="s">
        <v>33</v>
      </c>
      <c r="H74" s="5" t="n">
        <f>16.0</f>
        <v>16.0</v>
      </c>
    </row>
    <row r="75">
      <c r="A75" s="3" t="s">
        <v>90</v>
      </c>
      <c r="B75" s="4" t="s">
        <v>99</v>
      </c>
      <c r="C75" s="4" t="s">
        <v>100</v>
      </c>
      <c r="D75" s="3" t="n">
        <v>1.0</v>
      </c>
      <c r="E75" s="4" t="s">
        <v>55</v>
      </c>
      <c r="F75" s="4" t="s">
        <v>56</v>
      </c>
      <c r="G75" s="4" t="s">
        <v>57</v>
      </c>
      <c r="H75" s="5" t="n">
        <f>300.0</f>
        <v>300.0</v>
      </c>
    </row>
    <row r="76">
      <c r="A76" s="3" t="s">
        <v>90</v>
      </c>
      <c r="B76" s="4" t="s">
        <v>99</v>
      </c>
      <c r="C76" s="4" t="s">
        <v>100</v>
      </c>
      <c r="D76" s="3" t="n">
        <v>2.0</v>
      </c>
      <c r="E76" s="4" t="s">
        <v>22</v>
      </c>
      <c r="F76" s="4" t="s">
        <v>23</v>
      </c>
      <c r="G76" s="4" t="s">
        <v>24</v>
      </c>
      <c r="H76" s="5" t="n">
        <f>200.0</f>
        <v>200.0</v>
      </c>
    </row>
    <row r="77">
      <c r="A77" s="3" t="s">
        <v>90</v>
      </c>
      <c r="B77" s="4" t="s">
        <v>99</v>
      </c>
      <c r="C77" s="4" t="s">
        <v>100</v>
      </c>
      <c r="D77" s="3" t="n">
        <v>3.0</v>
      </c>
      <c r="E77" s="4" t="s">
        <v>43</v>
      </c>
      <c r="F77" s="4" t="s">
        <v>44</v>
      </c>
      <c r="G77" s="4" t="s">
        <v>45</v>
      </c>
      <c r="H77" s="5" t="n">
        <f>100.0</f>
        <v>100.0</v>
      </c>
    </row>
    <row r="78">
      <c r="A78" s="3" t="s">
        <v>90</v>
      </c>
      <c r="B78" s="4" t="s">
        <v>101</v>
      </c>
      <c r="C78" s="4" t="s">
        <v>102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40.0</f>
        <v>40.0</v>
      </c>
    </row>
    <row r="79">
      <c r="A79" s="3" t="s">
        <v>90</v>
      </c>
      <c r="B79" s="4" t="s">
        <v>101</v>
      </c>
      <c r="C79" s="4" t="s">
        <v>102</v>
      </c>
      <c r="D79" s="3" t="n">
        <v>2.0</v>
      </c>
      <c r="E79" s="4" t="s">
        <v>37</v>
      </c>
      <c r="F79" s="4" t="s">
        <v>38</v>
      </c>
      <c r="G79" s="4" t="s">
        <v>39</v>
      </c>
      <c r="H7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