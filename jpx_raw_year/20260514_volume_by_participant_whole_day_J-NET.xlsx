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<sst xmlns="http://schemas.openxmlformats.org/spreadsheetml/2006/main" count="400" uniqueCount="99">
  <si>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</si>
  <si>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</si>
  <si>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</si>
  <si>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</si>
  <si>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</si>
  <si>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</si>
  <si>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</si>
  <si>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</si>
  <si>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</si>
  <si>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20260514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</si>
  <si>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</si>
  <si>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</si>
  <si>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</si>
  <si>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</si>
  <si>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</si>
  <si>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</si>
  <si>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</si>
  <si>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</si>
  <si>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</si>
  <si>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</si>
  <si>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</si>
  <si>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</si>
  <si>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</si>
  <si>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</si>
  <si>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</si>
  <si>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</si>
  <si>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</si>
  <si>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</si>
  <si>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</si>
  <si>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</si>
  <si>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</si>
  <si>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</si>
  <si>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</si>
  <si>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</si>
  <si>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</si>
  <si>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</si>
  <si>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</si>
  <si>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</si>
  <si>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</si>
  <si>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</si>
  <si>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11746</t>
  </si>
  <si>
    <t>ＵＢＳ証券</t>
  </si>
  <si>
    <t>UBS Securities Japan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</si>
  <si>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</si>
  <si>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</si>
  <si>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</si>
  <si>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</si>
  <si>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</si>
  <si>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</si>
  <si>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</si>
  <si>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</si>
  <si>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</si>
  <si>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</si>
  <si>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</si>
  <si>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</si>
  <si>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</si>
  <si>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</si>
  <si>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</si>
  <si>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</si>
  <si>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</si>
  <si>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</si>
  <si>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</si>
  <si>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</si>
  <si>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</si>
  <si>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</si>
  <si>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</si>
  <si>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</si>
  <si>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</si>
  <si>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</si>
  <si>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</si>
  <si>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</si>
  <si>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</si>
  <si>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</si>
  <si>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</si>
  <si>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</si>
  <si>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</si>
  <si>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</si>
  <si>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</si>
  <si>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</si>
  <si>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</si>
  <si>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</si>
  <si>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</si>
  <si>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</si>
  <si>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</si>
  <si>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</si>
  <si>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11272</t>
  </si>
  <si>
    <t>岡三証券</t>
  </si>
  <si>
    <t>OKASAN SECURITIES</t>
  </si>
  <si>
    <t>161090005</t>
  </si>
  <si>
    <t>TOPIX FUT 2609</t>
  </si>
  <si>
    <t>NK225E</t>
  </si>
  <si>
    <t>131302018</t>
  </si>
  <si>
    <t>NIKKEI 225 OOP P2606-62000</t>
  </si>
  <si>
    <t>191303518</t>
  </si>
  <si>
    <t>NIKKEI 225 OOP C2606-63500</t>
  </si>
  <si>
    <t>191063318</t>
  </si>
  <si>
    <t>NIKKEI 225 OOP C2606-63375</t>
  </si>
  <si>
    <t>191303018</t>
  </si>
  <si>
    <t>NIKKEI 225 OOP C2606-63000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</si>
</sst>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3475.0</f>
        <v>3475.0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1598.0</f>
        <v>1598.0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1333.0</f>
        <v>1333.0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1300.0</f>
        <v>1300.0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652.0</f>
        <v>652.0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431.0</f>
        <v>431.0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428.0</f>
        <v>428.0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395.0</f>
        <v>395.0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372.0</f>
        <v>372.0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302.0</f>
        <v>302.0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302.0</f>
        <v>302.0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202.0</f>
        <v>202.0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168.0</f>
        <v>168.0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127.0</f>
        <v>127.0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74.0</f>
        <v>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34.0</f>
        <v>34.0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21.0</f>
        <v>21.0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8.0</f>
        <v>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1.0</f>
        <v>1.0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1.0</f>
        <v>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1025.0</f>
        <v>1025.0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600.0</f>
        <v>600.0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350.0</f>
        <v>350.0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250.0</f>
        <v>250.0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18.0</f>
        <v>18.0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10.0</f>
        <v>10.0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31</v>
      </c>
      <c r="F37" s="4" t="s">
        <v>32</v>
      </c>
      <c r="G37" s="4" t="s">
        <v>33</v>
      </c>
      <c r="H37" s="5" t="n">
        <f>37760.0</f>
        <v>37760.0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22202.0</f>
        <v>22202.0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55</v>
      </c>
      <c r="F39" s="4" t="s">
        <v>56</v>
      </c>
      <c r="G39" s="4" t="s">
        <v>57</v>
      </c>
      <c r="H39" s="5" t="n">
        <f>5444.0</f>
        <v>5444.0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34</v>
      </c>
      <c r="F40" s="4" t="s">
        <v>35</v>
      </c>
      <c r="G40" s="4" t="s">
        <v>36</v>
      </c>
      <c r="H40" s="5" t="n">
        <f>140.0</f>
        <v>140.0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105.0</f>
        <v>105.0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28</v>
      </c>
      <c r="F42" s="4" t="s">
        <v>29</v>
      </c>
      <c r="G42" s="4" t="s">
        <v>30</v>
      </c>
      <c r="H42" s="5" t="n">
        <f>101.0</f>
        <v>101.0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13</v>
      </c>
      <c r="F43" s="4" t="s">
        <v>14</v>
      </c>
      <c r="G43" s="4" t="s">
        <v>15</v>
      </c>
      <c r="H43" s="5" t="n">
        <f>36.0</f>
        <v>36.0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31</v>
      </c>
      <c r="F44" s="4" t="s">
        <v>32</v>
      </c>
      <c r="G44" s="4" t="s">
        <v>33</v>
      </c>
      <c r="H44" s="5" t="n">
        <f>96.0</f>
        <v>96.0</v>
      </c>
    </row>
    <row r="45">
      <c r="A45" s="3" t="s">
        <v>75</v>
      </c>
      <c r="B45" s="4" t="s">
        <v>78</v>
      </c>
      <c r="C45" s="4" t="s">
        <v>79</v>
      </c>
      <c r="D45" s="3" t="n">
        <v>2.0</v>
      </c>
      <c r="E45" s="4" t="s">
        <v>43</v>
      </c>
      <c r="F45" s="4" t="s">
        <v>44</v>
      </c>
      <c r="G45" s="4" t="s">
        <v>45</v>
      </c>
      <c r="H45" s="5" t="n">
        <f>58.0</f>
        <v>58.0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55</v>
      </c>
      <c r="F46" s="4" t="s">
        <v>56</v>
      </c>
      <c r="G46" s="4" t="s">
        <v>57</v>
      </c>
      <c r="H46" s="5" t="n">
        <f>22.0</f>
        <v>22.0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31</v>
      </c>
      <c r="F47" s="4" t="s">
        <v>32</v>
      </c>
      <c r="G47" s="4" t="s">
        <v>33</v>
      </c>
      <c r="H47" s="5" t="n">
        <f>12.0</f>
        <v>12.0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55</v>
      </c>
      <c r="F48" s="4" t="s">
        <v>56</v>
      </c>
      <c r="G48" s="4" t="s">
        <v>57</v>
      </c>
      <c r="H48" s="5" t="n">
        <f>8.0</f>
        <v>8.0</v>
      </c>
    </row>
    <row r="49">
      <c r="A49" s="3" t="s">
        <v>75</v>
      </c>
      <c r="B49" s="4" t="s">
        <v>80</v>
      </c>
      <c r="C49" s="4" t="s">
        <v>81</v>
      </c>
      <c r="D49" s="3" t="n">
        <v>3.0</v>
      </c>
      <c r="E49" s="4" t="s">
        <v>43</v>
      </c>
      <c r="F49" s="4" t="s">
        <v>44</v>
      </c>
      <c r="G49" s="4" t="s">
        <v>45</v>
      </c>
      <c r="H49" s="5" t="n">
        <f>4.0</f>
        <v>4.0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2964.0</f>
        <v>2964.0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19</v>
      </c>
      <c r="F51" s="4" t="s">
        <v>20</v>
      </c>
      <c r="G51" s="4" t="s">
        <v>21</v>
      </c>
      <c r="H51" s="5" t="n">
        <f>1120.0</f>
        <v>1120.0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833.0</f>
        <v>833.0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16</v>
      </c>
      <c r="F53" s="4" t="s">
        <v>17</v>
      </c>
      <c r="G53" s="4" t="s">
        <v>18</v>
      </c>
      <c r="H53" s="5" t="n">
        <f>747.0</f>
        <v>747.0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46</v>
      </c>
      <c r="F54" s="4" t="s">
        <v>47</v>
      </c>
      <c r="G54" s="4" t="s">
        <v>48</v>
      </c>
      <c r="H54" s="5" t="n">
        <f>727.0</f>
        <v>727.0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52</v>
      </c>
      <c r="F55" s="4" t="s">
        <v>53</v>
      </c>
      <c r="G55" s="4" t="s">
        <v>54</v>
      </c>
      <c r="H55" s="5" t="n">
        <f>411.0</f>
        <v>411.0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13</v>
      </c>
      <c r="F56" s="4" t="s">
        <v>14</v>
      </c>
      <c r="G56" s="4" t="s">
        <v>15</v>
      </c>
      <c r="H56" s="5" t="n">
        <f>301.0</f>
        <v>301.0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28</v>
      </c>
      <c r="F57" s="4" t="s">
        <v>29</v>
      </c>
      <c r="G57" s="4" t="s">
        <v>30</v>
      </c>
      <c r="H57" s="5" t="n">
        <f>240.0</f>
        <v>240.0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58</v>
      </c>
      <c r="F58" s="4" t="s">
        <v>59</v>
      </c>
      <c r="G58" s="4" t="s">
        <v>60</v>
      </c>
      <c r="H58" s="5" t="n">
        <f>231.0</f>
        <v>231.0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31</v>
      </c>
      <c r="F59" s="4" t="s">
        <v>32</v>
      </c>
      <c r="G59" s="4" t="s">
        <v>33</v>
      </c>
      <c r="H59" s="5" t="n">
        <f>160.0</f>
        <v>160.0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61</v>
      </c>
      <c r="F60" s="4" t="s">
        <v>62</v>
      </c>
      <c r="G60" s="4" t="s">
        <v>63</v>
      </c>
      <c r="H60" s="5" t="n">
        <f>104.0</f>
        <v>104.0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49</v>
      </c>
      <c r="F61" s="4" t="s">
        <v>50</v>
      </c>
      <c r="G61" s="4" t="s">
        <v>51</v>
      </c>
      <c r="H61" s="5" t="n">
        <f>102.0</f>
        <v>102.0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40</v>
      </c>
      <c r="F62" s="4" t="s">
        <v>41</v>
      </c>
      <c r="G62" s="4" t="s">
        <v>42</v>
      </c>
      <c r="H62" s="5" t="n">
        <f>48.0</f>
        <v>48.0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25</v>
      </c>
      <c r="F63" s="4" t="s">
        <v>26</v>
      </c>
      <c r="G63" s="4" t="s">
        <v>27</v>
      </c>
      <c r="H63" s="5" t="n">
        <f>34.0</f>
        <v>34.0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55</v>
      </c>
      <c r="F64" s="4" t="s">
        <v>56</v>
      </c>
      <c r="G64" s="4" t="s">
        <v>57</v>
      </c>
      <c r="H64" s="5" t="n">
        <f>4.0</f>
        <v>4.0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85</v>
      </c>
      <c r="F65" s="4" t="s">
        <v>86</v>
      </c>
      <c r="G65" s="4" t="s">
        <v>87</v>
      </c>
      <c r="H65" s="5" t="n">
        <f>2.0</f>
        <v>2.0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70</v>
      </c>
      <c r="F66" s="4" t="s">
        <v>71</v>
      </c>
      <c r="G66" s="4" t="s">
        <v>72</v>
      </c>
      <c r="H66" s="5" t="n">
        <f>2.0</f>
        <v>2.0</v>
      </c>
    </row>
    <row r="67">
      <c r="A67" s="3" t="s">
        <v>82</v>
      </c>
      <c r="B67" s="4" t="s">
        <v>88</v>
      </c>
      <c r="C67" s="4" t="s">
        <v>89</v>
      </c>
      <c r="D67" s="3" t="n">
        <v>1.0</v>
      </c>
      <c r="E67" s="4" t="s">
        <v>46</v>
      </c>
      <c r="F67" s="4" t="s">
        <v>47</v>
      </c>
      <c r="G67" s="4" t="s">
        <v>48</v>
      </c>
      <c r="H67" s="5" t="n">
        <f>200.0</f>
        <v>200.0</v>
      </c>
    </row>
    <row r="68">
      <c r="A68" s="3" t="s">
        <v>82</v>
      </c>
      <c r="B68" s="4" t="s">
        <v>88</v>
      </c>
      <c r="C68" s="4" t="s">
        <v>89</v>
      </c>
      <c r="D68" s="3" t="n">
        <v>2.0</v>
      </c>
      <c r="E68" s="4" t="s">
        <v>22</v>
      </c>
      <c r="F68" s="4" t="s">
        <v>23</v>
      </c>
      <c r="G68" s="4" t="s">
        <v>24</v>
      </c>
      <c r="H68" s="5" t="n">
        <f>100.0</f>
        <v>100.0</v>
      </c>
    </row>
    <row r="69">
      <c r="A69" s="3" t="s">
        <v>82</v>
      </c>
      <c r="B69" s="4" t="s">
        <v>88</v>
      </c>
      <c r="C69" s="4" t="s">
        <v>89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100.0</f>
        <v>100.0</v>
      </c>
    </row>
    <row r="70">
      <c r="A70" s="3" t="s">
        <v>90</v>
      </c>
      <c r="B70" s="4" t="s">
        <v>91</v>
      </c>
      <c r="C70" s="4" t="s">
        <v>92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2.0</f>
        <v>2.0</v>
      </c>
    </row>
    <row r="71">
      <c r="A71" s="3" t="s">
        <v>90</v>
      </c>
      <c r="B71" s="4" t="s">
        <v>93</v>
      </c>
      <c r="C71" s="4" t="s">
        <v>94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6.0</f>
        <v>6.0</v>
      </c>
    </row>
    <row r="72">
      <c r="A72" s="3" t="s">
        <v>90</v>
      </c>
      <c r="B72" s="4" t="s">
        <v>95</v>
      </c>
      <c r="C72" s="4" t="s">
        <v>96</v>
      </c>
      <c r="D72" s="3" t="n">
        <v>1.0</v>
      </c>
      <c r="E72" s="4" t="s">
        <v>61</v>
      </c>
      <c r="F72" s="4" t="s">
        <v>62</v>
      </c>
      <c r="G72" s="4" t="s">
        <v>63</v>
      </c>
      <c r="H72" s="5" t="n">
        <f>20.0</f>
        <v>20.0</v>
      </c>
    </row>
    <row r="73">
      <c r="A73" s="3" t="s">
        <v>90</v>
      </c>
      <c r="B73" s="4" t="s">
        <v>97</v>
      </c>
      <c r="C73" s="4" t="s">
        <v>98</v>
      </c>
      <c r="D73" s="3" t="n">
        <v>1.0</v>
      </c>
      <c r="E73" s="4" t="s">
        <v>31</v>
      </c>
      <c r="F73" s="4" t="s">
        <v>32</v>
      </c>
      <c r="G73" s="4" t="s">
        <v>33</v>
      </c>
      <c r="H7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