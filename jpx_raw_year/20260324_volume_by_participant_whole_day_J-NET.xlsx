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<sst xmlns="http://schemas.openxmlformats.org/spreadsheetml/2006/main" count="364" uniqueCount="96">
  <si>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</si>
  <si>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</si>
  <si>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</si>
  <si>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</si>
  <si>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</si>
  <si>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</si>
  <si>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</si>
  <si>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</si>
  <si>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</si>
  <si>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20260324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</si>
  <si>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</si>
  <si>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</si>
  <si>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</si>
  <si>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</si>
  <si>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</si>
  <si>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</si>
  <si>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</si>
  <si>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</si>
  <si>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</si>
  <si>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</si>
  <si>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</si>
  <si>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</si>
  <si>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</si>
  <si>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</si>
  <si>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</si>
  <si>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</si>
  <si>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</si>
  <si>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</si>
  <si>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</si>
  <si>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</si>
  <si>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</si>
  <si>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</si>
  <si>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</si>
  <si>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</si>
  <si>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</si>
  <si>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</si>
  <si>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</si>
  <si>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</si>
  <si>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</si>
  <si>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</si>
  <si>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</si>
  <si>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</si>
  <si>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</si>
  <si>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</si>
  <si>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</si>
  <si>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</si>
  <si>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</si>
  <si>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</si>
  <si>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</si>
  <si>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</si>
  <si>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</si>
  <si>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</si>
  <si>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</si>
  <si>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</si>
  <si>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</si>
  <si>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</si>
  <si>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</si>
  <si>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</si>
  <si>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</si>
  <si>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</si>
  <si>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</si>
  <si>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</si>
  <si>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</si>
  <si>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</si>
  <si>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</si>
  <si>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</si>
  <si>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</si>
  <si>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</si>
  <si>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</si>
  <si>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</si>
  <si>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</si>
  <si>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</si>
  <si>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</si>
  <si>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</si>
  <si>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</si>
  <si>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</si>
  <si>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</si>
  <si>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</si>
  <si>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</si>
  <si>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</si>
  <si>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</si>
  <si>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</si>
  <si>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</si>
  <si>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</si>
  <si>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</si>
  <si>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NK225E</t>
  </si>
  <si>
    <t>131161518</t>
  </si>
  <si>
    <t>NIKKEI 225 OOP P2604-51500</t>
  </si>
  <si>
    <t>131162518</t>
  </si>
  <si>
    <t>NIKKEI 225 OOP P2604-52500</t>
  </si>
  <si>
    <t>191163018</t>
  </si>
  <si>
    <t>NIKKEI 225 OOP C2604-53000</t>
  </si>
  <si>
    <t>141162218</t>
  </si>
  <si>
    <t>NIKKEI 225 OOP C2604-52250</t>
  </si>
  <si>
    <t>191162018</t>
  </si>
  <si>
    <t>NIKKEI 225 OOP C2604-52000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</si>
</sst>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3515.0</f>
        <v>3515.0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1819.0</f>
        <v>1819.0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992.0</f>
        <v>992.0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562.0</f>
        <v>562.0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517.0</f>
        <v>517.0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479.0</f>
        <v>479.0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460.0</f>
        <v>460.0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408.0</f>
        <v>408.0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322.0</f>
        <v>322.0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270.0</f>
        <v>270.0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211.0</f>
        <v>211.0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192.0</f>
        <v>192.0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136.0</f>
        <v>136.0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128.0</f>
        <v>128.0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126.0</f>
        <v>126.0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89.0</f>
        <v>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85.0</f>
        <v>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62.0</f>
        <v>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12.0</f>
        <v>12.0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5190.0</f>
        <v>5190.0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2316.0</f>
        <v>2316.0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334.0</f>
        <v>334.0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19</v>
      </c>
      <c r="F33" s="4" t="s">
        <v>20</v>
      </c>
      <c r="G33" s="4" t="s">
        <v>21</v>
      </c>
      <c r="H33" s="5" t="n">
        <f>68.0</f>
        <v>68.0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34</v>
      </c>
      <c r="F34" s="4" t="s">
        <v>35</v>
      </c>
      <c r="G34" s="4" t="s">
        <v>36</v>
      </c>
      <c r="H34" s="5" t="n">
        <f>52.0</f>
        <v>52.0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67</v>
      </c>
      <c r="F35" s="4" t="s">
        <v>68</v>
      </c>
      <c r="G35" s="4" t="s">
        <v>69</v>
      </c>
      <c r="H35" s="5" t="n">
        <f>8.0</f>
        <v>8.0</v>
      </c>
    </row>
    <row r="36">
      <c r="A36" s="3" t="s">
        <v>75</v>
      </c>
      <c r="B36" s="4" t="s">
        <v>80</v>
      </c>
      <c r="C36" s="4" t="s">
        <v>81</v>
      </c>
      <c r="D36" s="3" t="n">
        <v>1.0</v>
      </c>
      <c r="E36" s="4" t="s">
        <v>19</v>
      </c>
      <c r="F36" s="4" t="s">
        <v>20</v>
      </c>
      <c r="G36" s="4" t="s">
        <v>21</v>
      </c>
      <c r="H36" s="5" t="n">
        <f>63250.0</f>
        <v>63250.0</v>
      </c>
    </row>
    <row r="37">
      <c r="A37" s="3" t="s">
        <v>75</v>
      </c>
      <c r="B37" s="4" t="s">
        <v>80</v>
      </c>
      <c r="C37" s="4" t="s">
        <v>81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31350.0</f>
        <v>31350.0</v>
      </c>
    </row>
    <row r="38">
      <c r="A38" s="3" t="s">
        <v>75</v>
      </c>
      <c r="B38" s="4" t="s">
        <v>80</v>
      </c>
      <c r="C38" s="4" t="s">
        <v>81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5458.0</f>
        <v>5458.0</v>
      </c>
    </row>
    <row r="39">
      <c r="A39" s="3" t="s">
        <v>75</v>
      </c>
      <c r="B39" s="4" t="s">
        <v>80</v>
      </c>
      <c r="C39" s="4" t="s">
        <v>81</v>
      </c>
      <c r="D39" s="3" t="n">
        <v>4.0</v>
      </c>
      <c r="E39" s="4" t="s">
        <v>46</v>
      </c>
      <c r="F39" s="4" t="s">
        <v>47</v>
      </c>
      <c r="G39" s="4" t="s">
        <v>48</v>
      </c>
      <c r="H39" s="5" t="n">
        <f>37.0</f>
        <v>37.0</v>
      </c>
    </row>
    <row r="40">
      <c r="A40" s="3" t="s">
        <v>75</v>
      </c>
      <c r="B40" s="4" t="s">
        <v>80</v>
      </c>
      <c r="C40" s="4" t="s">
        <v>81</v>
      </c>
      <c r="D40" s="3" t="n">
        <v>4.0</v>
      </c>
      <c r="E40" s="4" t="s">
        <v>49</v>
      </c>
      <c r="F40" s="4" t="s">
        <v>50</v>
      </c>
      <c r="G40" s="4" t="s">
        <v>51</v>
      </c>
      <c r="H40" s="5" t="n">
        <f>37.0</f>
        <v>37.0</v>
      </c>
    </row>
    <row r="41">
      <c r="A41" s="3" t="s">
        <v>75</v>
      </c>
      <c r="B41" s="4" t="s">
        <v>80</v>
      </c>
      <c r="C41" s="4" t="s">
        <v>81</v>
      </c>
      <c r="D41" s="3" t="n">
        <v>6.0</v>
      </c>
      <c r="E41" s="4" t="s">
        <v>25</v>
      </c>
      <c r="F41" s="4" t="s">
        <v>26</v>
      </c>
      <c r="G41" s="4" t="s">
        <v>27</v>
      </c>
      <c r="H41" s="5" t="n">
        <f>36.0</f>
        <v>36.0</v>
      </c>
    </row>
    <row r="42">
      <c r="A42" s="3" t="s">
        <v>75</v>
      </c>
      <c r="B42" s="4" t="s">
        <v>80</v>
      </c>
      <c r="C42" s="4" t="s">
        <v>81</v>
      </c>
      <c r="D42" s="3" t="n">
        <v>7.0</v>
      </c>
      <c r="E42" s="4" t="s">
        <v>13</v>
      </c>
      <c r="F42" s="4" t="s">
        <v>14</v>
      </c>
      <c r="G42" s="4" t="s">
        <v>15</v>
      </c>
      <c r="H42" s="5" t="n">
        <f>22.0</f>
        <v>22.0</v>
      </c>
    </row>
    <row r="43">
      <c r="A43" s="3" t="s">
        <v>82</v>
      </c>
      <c r="B43" s="4" t="s">
        <v>83</v>
      </c>
      <c r="C43" s="4" t="s">
        <v>84</v>
      </c>
      <c r="D43" s="3" t="n">
        <v>1.0</v>
      </c>
      <c r="E43" s="4" t="s">
        <v>25</v>
      </c>
      <c r="F43" s="4" t="s">
        <v>26</v>
      </c>
      <c r="G43" s="4" t="s">
        <v>27</v>
      </c>
      <c r="H43" s="5" t="n">
        <f>3983.0</f>
        <v>3983.0</v>
      </c>
    </row>
    <row r="44">
      <c r="A44" s="3" t="s">
        <v>82</v>
      </c>
      <c r="B44" s="4" t="s">
        <v>83</v>
      </c>
      <c r="C44" s="4" t="s">
        <v>84</v>
      </c>
      <c r="D44" s="3" t="n">
        <v>2.0</v>
      </c>
      <c r="E44" s="4" t="s">
        <v>22</v>
      </c>
      <c r="F44" s="4" t="s">
        <v>23</v>
      </c>
      <c r="G44" s="4" t="s">
        <v>24</v>
      </c>
      <c r="H44" s="5" t="n">
        <f>1947.0</f>
        <v>1947.0</v>
      </c>
    </row>
    <row r="45">
      <c r="A45" s="3" t="s">
        <v>82</v>
      </c>
      <c r="B45" s="4" t="s">
        <v>83</v>
      </c>
      <c r="C45" s="4" t="s">
        <v>84</v>
      </c>
      <c r="D45" s="3" t="n">
        <v>3.0</v>
      </c>
      <c r="E45" s="4" t="s">
        <v>64</v>
      </c>
      <c r="F45" s="4" t="s">
        <v>65</v>
      </c>
      <c r="G45" s="4" t="s">
        <v>66</v>
      </c>
      <c r="H45" s="5" t="n">
        <f>1164.0</f>
        <v>1164.0</v>
      </c>
    </row>
    <row r="46">
      <c r="A46" s="3" t="s">
        <v>82</v>
      </c>
      <c r="B46" s="4" t="s">
        <v>83</v>
      </c>
      <c r="C46" s="4" t="s">
        <v>84</v>
      </c>
      <c r="D46" s="3" t="n">
        <v>4.0</v>
      </c>
      <c r="E46" s="4" t="s">
        <v>16</v>
      </c>
      <c r="F46" s="4" t="s">
        <v>17</v>
      </c>
      <c r="G46" s="4" t="s">
        <v>18</v>
      </c>
      <c r="H46" s="5" t="n">
        <f>746.0</f>
        <v>746.0</v>
      </c>
    </row>
    <row r="47">
      <c r="A47" s="3" t="s">
        <v>82</v>
      </c>
      <c r="B47" s="4" t="s">
        <v>83</v>
      </c>
      <c r="C47" s="4" t="s">
        <v>84</v>
      </c>
      <c r="D47" s="3" t="n">
        <v>5.0</v>
      </c>
      <c r="E47" s="4" t="s">
        <v>31</v>
      </c>
      <c r="F47" s="4" t="s">
        <v>32</v>
      </c>
      <c r="G47" s="4" t="s">
        <v>33</v>
      </c>
      <c r="H47" s="5" t="n">
        <f>544.0</f>
        <v>544.0</v>
      </c>
    </row>
    <row r="48">
      <c r="A48" s="3" t="s">
        <v>82</v>
      </c>
      <c r="B48" s="4" t="s">
        <v>83</v>
      </c>
      <c r="C48" s="4" t="s">
        <v>84</v>
      </c>
      <c r="D48" s="3" t="n">
        <v>6.0</v>
      </c>
      <c r="E48" s="4" t="s">
        <v>28</v>
      </c>
      <c r="F48" s="4" t="s">
        <v>29</v>
      </c>
      <c r="G48" s="4" t="s">
        <v>30</v>
      </c>
      <c r="H48" s="5" t="n">
        <f>504.0</f>
        <v>504.0</v>
      </c>
    </row>
    <row r="49">
      <c r="A49" s="3" t="s">
        <v>82</v>
      </c>
      <c r="B49" s="4" t="s">
        <v>83</v>
      </c>
      <c r="C49" s="4" t="s">
        <v>84</v>
      </c>
      <c r="D49" s="3" t="n">
        <v>7.0</v>
      </c>
      <c r="E49" s="4" t="s">
        <v>49</v>
      </c>
      <c r="F49" s="4" t="s">
        <v>50</v>
      </c>
      <c r="G49" s="4" t="s">
        <v>51</v>
      </c>
      <c r="H49" s="5" t="n">
        <f>486.0</f>
        <v>486.0</v>
      </c>
    </row>
    <row r="50">
      <c r="A50" s="3" t="s">
        <v>82</v>
      </c>
      <c r="B50" s="4" t="s">
        <v>83</v>
      </c>
      <c r="C50" s="4" t="s">
        <v>84</v>
      </c>
      <c r="D50" s="3" t="n">
        <v>8.0</v>
      </c>
      <c r="E50" s="4" t="s">
        <v>13</v>
      </c>
      <c r="F50" s="4" t="s">
        <v>14</v>
      </c>
      <c r="G50" s="4" t="s">
        <v>15</v>
      </c>
      <c r="H50" s="5" t="n">
        <f>401.0</f>
        <v>401.0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46</v>
      </c>
      <c r="F51" s="4" t="s">
        <v>47</v>
      </c>
      <c r="G51" s="4" t="s">
        <v>48</v>
      </c>
      <c r="H51" s="5" t="n">
        <f>325.0</f>
        <v>325.0</v>
      </c>
    </row>
    <row r="52">
      <c r="A52" s="3" t="s">
        <v>82</v>
      </c>
      <c r="B52" s="4" t="s">
        <v>83</v>
      </c>
      <c r="C52" s="4" t="s">
        <v>84</v>
      </c>
      <c r="D52" s="3" t="n">
        <v>10.0</v>
      </c>
      <c r="E52" s="4" t="s">
        <v>61</v>
      </c>
      <c r="F52" s="4" t="s">
        <v>62</v>
      </c>
      <c r="G52" s="4" t="s">
        <v>63</v>
      </c>
      <c r="H52" s="5" t="n">
        <f>310.0</f>
        <v>310.0</v>
      </c>
    </row>
    <row r="53">
      <c r="A53" s="3" t="s">
        <v>82</v>
      </c>
      <c r="B53" s="4" t="s">
        <v>83</v>
      </c>
      <c r="C53" s="4" t="s">
        <v>84</v>
      </c>
      <c r="D53" s="3" t="n">
        <v>11.0</v>
      </c>
      <c r="E53" s="4" t="s">
        <v>19</v>
      </c>
      <c r="F53" s="4" t="s">
        <v>20</v>
      </c>
      <c r="G53" s="4" t="s">
        <v>21</v>
      </c>
      <c r="H53" s="5" t="n">
        <f>252.0</f>
        <v>252.0</v>
      </c>
    </row>
    <row r="54">
      <c r="A54" s="3" t="s">
        <v>82</v>
      </c>
      <c r="B54" s="4" t="s">
        <v>83</v>
      </c>
      <c r="C54" s="4" t="s">
        <v>84</v>
      </c>
      <c r="D54" s="3" t="n">
        <v>12.0</v>
      </c>
      <c r="E54" s="4" t="s">
        <v>40</v>
      </c>
      <c r="F54" s="4" t="s">
        <v>41</v>
      </c>
      <c r="G54" s="4" t="s">
        <v>42</v>
      </c>
      <c r="H54" s="5" t="n">
        <f>140.0</f>
        <v>140.0</v>
      </c>
    </row>
    <row r="55">
      <c r="A55" s="3" t="s">
        <v>82</v>
      </c>
      <c r="B55" s="4" t="s">
        <v>83</v>
      </c>
      <c r="C55" s="4" t="s">
        <v>84</v>
      </c>
      <c r="D55" s="3" t="n">
        <v>13.0</v>
      </c>
      <c r="E55" s="4" t="s">
        <v>67</v>
      </c>
      <c r="F55" s="4" t="s">
        <v>68</v>
      </c>
      <c r="G55" s="4" t="s">
        <v>69</v>
      </c>
      <c r="H55" s="5" t="n">
        <f>10.0</f>
        <v>10.0</v>
      </c>
    </row>
    <row r="56">
      <c r="A56" s="3" t="s">
        <v>82</v>
      </c>
      <c r="B56" s="4" t="s">
        <v>83</v>
      </c>
      <c r="C56" s="4" t="s">
        <v>84</v>
      </c>
      <c r="D56" s="3" t="n">
        <v>14.0</v>
      </c>
      <c r="E56" s="4" t="s">
        <v>58</v>
      </c>
      <c r="F56" s="4" t="s">
        <v>59</v>
      </c>
      <c r="G56" s="4" t="s">
        <v>60</v>
      </c>
      <c r="H56" s="5" t="n">
        <f>8.0</f>
        <v>8.0</v>
      </c>
    </row>
    <row r="57">
      <c r="A57" s="3" t="s">
        <v>85</v>
      </c>
      <c r="B57" s="4" t="s">
        <v>86</v>
      </c>
      <c r="C57" s="4" t="s">
        <v>87</v>
      </c>
      <c r="D57" s="3" t="n">
        <v>1.0</v>
      </c>
      <c r="E57" s="4" t="s">
        <v>19</v>
      </c>
      <c r="F57" s="4" t="s">
        <v>20</v>
      </c>
      <c r="G57" s="4" t="s">
        <v>21</v>
      </c>
      <c r="H57" s="5" t="n">
        <f>8.0</f>
        <v>8.0</v>
      </c>
    </row>
    <row r="58">
      <c r="A58" s="3" t="s">
        <v>85</v>
      </c>
      <c r="B58" s="4" t="s">
        <v>86</v>
      </c>
      <c r="C58" s="4" t="s">
        <v>87</v>
      </c>
      <c r="D58" s="3" t="n">
        <v>2.0</v>
      </c>
      <c r="E58" s="4" t="s">
        <v>34</v>
      </c>
      <c r="F58" s="4" t="s">
        <v>35</v>
      </c>
      <c r="G58" s="4" t="s">
        <v>36</v>
      </c>
      <c r="H58" s="5" t="n">
        <f>4.0</f>
        <v>4.0</v>
      </c>
    </row>
    <row r="59">
      <c r="A59" s="3" t="s">
        <v>85</v>
      </c>
      <c r="B59" s="4" t="s">
        <v>88</v>
      </c>
      <c r="C59" s="4" t="s">
        <v>89</v>
      </c>
      <c r="D59" s="3" t="n">
        <v>1.0</v>
      </c>
      <c r="E59" s="4" t="s">
        <v>34</v>
      </c>
      <c r="F59" s="4" t="s">
        <v>35</v>
      </c>
      <c r="G59" s="4" t="s">
        <v>36</v>
      </c>
      <c r="H59" s="5" t="n">
        <f>2.0</f>
        <v>2.0</v>
      </c>
    </row>
    <row r="60">
      <c r="A60" s="3" t="s">
        <v>85</v>
      </c>
      <c r="B60" s="4" t="s">
        <v>90</v>
      </c>
      <c r="C60" s="4" t="s">
        <v>91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325.0</f>
        <v>325.0</v>
      </c>
    </row>
    <row r="61">
      <c r="A61" s="3" t="s">
        <v>85</v>
      </c>
      <c r="B61" s="4" t="s">
        <v>90</v>
      </c>
      <c r="C61" s="4" t="s">
        <v>91</v>
      </c>
      <c r="D61" s="3" t="n">
        <v>2.0</v>
      </c>
      <c r="E61" s="4" t="s">
        <v>25</v>
      </c>
      <c r="F61" s="4" t="s">
        <v>26</v>
      </c>
      <c r="G61" s="4" t="s">
        <v>27</v>
      </c>
      <c r="H61" s="5" t="n">
        <f>100.0</f>
        <v>100.0</v>
      </c>
    </row>
    <row r="62">
      <c r="A62" s="3" t="s">
        <v>85</v>
      </c>
      <c r="B62" s="4" t="s">
        <v>90</v>
      </c>
      <c r="C62" s="4" t="s">
        <v>91</v>
      </c>
      <c r="D62" s="3" t="n">
        <v>2.0</v>
      </c>
      <c r="E62" s="4" t="s">
        <v>22</v>
      </c>
      <c r="F62" s="4" t="s">
        <v>23</v>
      </c>
      <c r="G62" s="4" t="s">
        <v>24</v>
      </c>
      <c r="H62" s="5" t="n">
        <f>100.0</f>
        <v>100.0</v>
      </c>
    </row>
    <row r="63">
      <c r="A63" s="3" t="s">
        <v>85</v>
      </c>
      <c r="B63" s="4" t="s">
        <v>90</v>
      </c>
      <c r="C63" s="4" t="s">
        <v>91</v>
      </c>
      <c r="D63" s="3" t="n">
        <v>2.0</v>
      </c>
      <c r="E63" s="4" t="s">
        <v>61</v>
      </c>
      <c r="F63" s="4" t="s">
        <v>62</v>
      </c>
      <c r="G63" s="4" t="s">
        <v>63</v>
      </c>
      <c r="H63" s="5" t="n">
        <f>100.0</f>
        <v>100.0</v>
      </c>
    </row>
    <row r="64">
      <c r="A64" s="3" t="s">
        <v>85</v>
      </c>
      <c r="B64" s="4" t="s">
        <v>90</v>
      </c>
      <c r="C64" s="4" t="s">
        <v>91</v>
      </c>
      <c r="D64" s="3" t="n">
        <v>5.0</v>
      </c>
      <c r="E64" s="4" t="s">
        <v>28</v>
      </c>
      <c r="F64" s="4" t="s">
        <v>29</v>
      </c>
      <c r="G64" s="4" t="s">
        <v>30</v>
      </c>
      <c r="H64" s="5" t="n">
        <f>25.0</f>
        <v>25.0</v>
      </c>
    </row>
    <row r="65">
      <c r="A65" s="3" t="s">
        <v>85</v>
      </c>
      <c r="B65" s="4" t="s">
        <v>90</v>
      </c>
      <c r="C65" s="4" t="s">
        <v>91</v>
      </c>
      <c r="D65" s="3" t="n">
        <v>6.0</v>
      </c>
      <c r="E65" s="4" t="s">
        <v>34</v>
      </c>
      <c r="F65" s="4" t="s">
        <v>35</v>
      </c>
      <c r="G65" s="4" t="s">
        <v>36</v>
      </c>
      <c r="H65" s="5" t="n">
        <f>2.0</f>
        <v>2.0</v>
      </c>
    </row>
    <row r="66">
      <c r="A66" s="3" t="s">
        <v>85</v>
      </c>
      <c r="B66" s="4" t="s">
        <v>92</v>
      </c>
      <c r="C66" s="4" t="s">
        <v>93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2.0</f>
        <v>2.0</v>
      </c>
    </row>
    <row r="67">
      <c r="A67" s="3" t="s">
        <v>85</v>
      </c>
      <c r="B67" s="4" t="s">
        <v>94</v>
      </c>
      <c r="C67" s="4" t="s">
        <v>95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