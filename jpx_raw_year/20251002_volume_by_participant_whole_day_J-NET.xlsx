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<sst xmlns="http://schemas.openxmlformats.org/spreadsheetml/2006/main" count="568" uniqueCount="113">
  <si>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</si>
  <si>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</si>
  <si>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</si>
  <si>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</si>
  <si>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</si>
  <si>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</si>
  <si>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</si>
  <si>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</si>
  <si>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</si>
  <si>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20251002</t>
  </si>
  <si>
    <t>NK225F</t>
  </si>
  <si>
    <t>160120018</t>
  </si>
  <si>
    <t>NIKKEI 225 FUT 2512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</si>
  <si>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</si>
  <si>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</si>
  <si>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</si>
  <si>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</si>
  <si>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</si>
  <si>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</si>
  <si>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</si>
  <si>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</si>
  <si>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</si>
  <si>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</si>
  <si>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</si>
  <si>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</si>
  <si>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</si>
  <si>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</si>
  <si>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</si>
  <si>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</si>
  <si>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</si>
  <si>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</si>
  <si>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</si>
  <si>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</si>
  <si>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</si>
  <si>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</si>
  <si>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</si>
  <si>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</si>
  <si>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11256</t>
  </si>
  <si>
    <t>ＳＢＩ証券</t>
  </si>
  <si>
    <t>SBI SECURITIES</t>
  </si>
  <si>
    <t>12057</t>
  </si>
  <si>
    <t>楽天証券</t>
  </si>
  <si>
    <t>Rakuten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</si>
  <si>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</si>
  <si>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</si>
  <si>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</si>
  <si>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</si>
  <si>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</si>
  <si>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</si>
  <si>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</si>
  <si>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</si>
  <si>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</si>
  <si>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11788</t>
  </si>
  <si>
    <t>ソシエテＧ証券</t>
  </si>
  <si>
    <t>Societe Generale Securities Japan</t>
  </si>
  <si>
    <t>12176</t>
  </si>
  <si>
    <t>ドイツ証券</t>
  </si>
  <si>
    <t>Deutsche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</si>
  <si>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</si>
  <si>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</si>
  <si>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</si>
  <si>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</si>
  <si>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</si>
  <si>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</si>
  <si>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</si>
  <si>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</si>
  <si>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</si>
  <si>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</si>
  <si>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</si>
  <si>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</si>
  <si>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</si>
  <si>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</si>
  <si>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</si>
  <si>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</si>
  <si>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</si>
  <si>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</si>
  <si>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</si>
  <si>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</si>
  <si>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</si>
  <si>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</si>
  <si>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</si>
  <si>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</si>
  <si>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161030005</t>
  </si>
  <si>
    <t>TOPIX FUT 2603</t>
  </si>
  <si>
    <t>NK225E</t>
  </si>
  <si>
    <t>130103818</t>
  </si>
  <si>
    <t>NIKKEI 225 OOP P2510-43875</t>
  </si>
  <si>
    <t>130224018</t>
  </si>
  <si>
    <t>NIKKEI 225 OOP P2510-44000</t>
  </si>
  <si>
    <t>180104218</t>
  </si>
  <si>
    <t>NIKKEI 225 OOP P2510-44250</t>
  </si>
  <si>
    <t>180104518</t>
  </si>
  <si>
    <t>NIKKEI 225 OOP P2510-44500</t>
  </si>
  <si>
    <t>130104818</t>
  </si>
  <si>
    <t>NIKKEI 225 OOP P2510-44875</t>
  </si>
  <si>
    <t>130225018</t>
  </si>
  <si>
    <t>NIKKEI 225 OOP P2510-45000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</si>
  <si>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</si>
  <si>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</si>
  <si>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</si>
  <si>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</si>
  <si>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</si>
  <si>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</si>
  <si>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</si>
  <si>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</si>
  <si>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190105218</t>
  </si>
  <si>
    <t>NIKKEI 225 OOP C2510-45250</t>
  </si>
  <si>
    <t>140225018</t>
  </si>
  <si>
    <t>NIKKEI 225 OOP C2510-45000</t>
  </si>
  <si>
    <t>140104818</t>
  </si>
  <si>
    <t>NIKKEI 225 OOP C2510-44875</t>
  </si>
  <si>
    <t>190104718</t>
  </si>
  <si>
    <t>NIKKEI 225 OOP C2510-44750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</si>
</sst>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2014.0</f>
        <v>2014.0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1713.0</f>
        <v>1713.0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1142.0</f>
        <v>1142.0</v>
      </c>
    </row>
    <row r="12">
      <c r="A12" s="3" t="s">
        <v>10</v>
      </c>
      <c r="B12" s="4" t="s">
        <v>11</v>
      </c>
      <c r="C12" s="4" t="s">
        <v>12</v>
      </c>
      <c r="D12" s="3" t="n">
        <v>3.0</v>
      </c>
      <c r="E12" s="4" t="s">
        <v>22</v>
      </c>
      <c r="F12" s="4" t="s">
        <v>23</v>
      </c>
      <c r="G12" s="4" t="s">
        <v>24</v>
      </c>
      <c r="H12" s="5" t="n">
        <f>1142.0</f>
        <v>1142.0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1019.0</f>
        <v>1019.0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811.0</f>
        <v>811.0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670.0</f>
        <v>670.0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663.0</f>
        <v>663.0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573.0</f>
        <v>573.0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506.0</f>
        <v>506.0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385.0</f>
        <v>385.0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235.0</f>
        <v>235.0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217.0</f>
        <v>217.0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212.0</f>
        <v>212.0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123.0</f>
        <v>123.0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113.0</f>
        <v>113.0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17.0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40.0</f>
        <v>40.0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37</v>
      </c>
      <c r="F28" s="4" t="s">
        <v>38</v>
      </c>
      <c r="G28" s="4" t="s">
        <v>39</v>
      </c>
      <c r="H28" s="5" t="n">
        <f>6.0</f>
        <v>6.0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40</v>
      </c>
      <c r="F29" s="4" t="s">
        <v>41</v>
      </c>
      <c r="G29" s="4" t="s">
        <v>42</v>
      </c>
      <c r="H29" s="5" t="n">
        <f>4.0</f>
        <v>4.0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37</v>
      </c>
      <c r="F30" s="4" t="s">
        <v>38</v>
      </c>
      <c r="G30" s="4" t="s">
        <v>39</v>
      </c>
      <c r="H30" s="5" t="n">
        <f>3614.0</f>
        <v>3614.0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2728.0</f>
        <v>2728.0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58</v>
      </c>
      <c r="F32" s="4" t="s">
        <v>59</v>
      </c>
      <c r="G32" s="4" t="s">
        <v>60</v>
      </c>
      <c r="H32" s="5" t="n">
        <f>1000.0</f>
        <v>1000.0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16</v>
      </c>
      <c r="F33" s="4" t="s">
        <v>17</v>
      </c>
      <c r="G33" s="4" t="s">
        <v>18</v>
      </c>
      <c r="H33" s="5" t="n">
        <f>1000.0</f>
        <v>1000.0</v>
      </c>
    </row>
    <row r="34">
      <c r="A34" s="3" t="s">
        <v>72</v>
      </c>
      <c r="B34" s="4" t="s">
        <v>73</v>
      </c>
      <c r="C34" s="4" t="s">
        <v>74</v>
      </c>
      <c r="D34" s="3" t="n">
        <v>5.0</v>
      </c>
      <c r="E34" s="4" t="s">
        <v>61</v>
      </c>
      <c r="F34" s="4" t="s">
        <v>62</v>
      </c>
      <c r="G34" s="4" t="s">
        <v>63</v>
      </c>
      <c r="H34" s="5" t="n">
        <f>94.0</f>
        <v>94.0</v>
      </c>
    </row>
    <row r="35">
      <c r="A35" s="3" t="s">
        <v>72</v>
      </c>
      <c r="B35" s="4" t="s">
        <v>75</v>
      </c>
      <c r="C35" s="4" t="s">
        <v>76</v>
      </c>
      <c r="D35" s="3" t="n">
        <v>1.0</v>
      </c>
      <c r="E35" s="4" t="s">
        <v>40</v>
      </c>
      <c r="F35" s="4" t="s">
        <v>41</v>
      </c>
      <c r="G35" s="4" t="s">
        <v>42</v>
      </c>
      <c r="H35" s="5" t="n">
        <f>134.0</f>
        <v>134.0</v>
      </c>
    </row>
    <row r="36">
      <c r="A36" s="3" t="s">
        <v>72</v>
      </c>
      <c r="B36" s="4" t="s">
        <v>75</v>
      </c>
      <c r="C36" s="4" t="s">
        <v>76</v>
      </c>
      <c r="D36" s="3" t="n">
        <v>2.0</v>
      </c>
      <c r="E36" s="4" t="s">
        <v>37</v>
      </c>
      <c r="F36" s="4" t="s">
        <v>38</v>
      </c>
      <c r="G36" s="4" t="s">
        <v>39</v>
      </c>
      <c r="H36" s="5" t="n">
        <f>122.0</f>
        <v>122.0</v>
      </c>
    </row>
    <row r="37">
      <c r="A37" s="3" t="s">
        <v>72</v>
      </c>
      <c r="B37" s="4" t="s">
        <v>75</v>
      </c>
      <c r="C37" s="4" t="s">
        <v>76</v>
      </c>
      <c r="D37" s="3" t="n">
        <v>3.0</v>
      </c>
      <c r="E37" s="4" t="s">
        <v>61</v>
      </c>
      <c r="F37" s="4" t="s">
        <v>62</v>
      </c>
      <c r="G37" s="4" t="s">
        <v>63</v>
      </c>
      <c r="H37" s="5" t="n">
        <f>24.0</f>
        <v>24.0</v>
      </c>
    </row>
    <row r="38">
      <c r="A38" s="3" t="s">
        <v>72</v>
      </c>
      <c r="B38" s="4" t="s">
        <v>77</v>
      </c>
      <c r="C38" s="4" t="s">
        <v>78</v>
      </c>
      <c r="D38" s="3" t="n">
        <v>1.0</v>
      </c>
      <c r="E38" s="4" t="s">
        <v>37</v>
      </c>
      <c r="F38" s="4" t="s">
        <v>38</v>
      </c>
      <c r="G38" s="4" t="s">
        <v>39</v>
      </c>
      <c r="H38" s="5" t="n">
        <f>66910.0</f>
        <v>66910.0</v>
      </c>
    </row>
    <row r="39">
      <c r="A39" s="3" t="s">
        <v>72</v>
      </c>
      <c r="B39" s="4" t="s">
        <v>77</v>
      </c>
      <c r="C39" s="4" t="s">
        <v>78</v>
      </c>
      <c r="D39" s="3" t="n">
        <v>2.0</v>
      </c>
      <c r="E39" s="4" t="s">
        <v>40</v>
      </c>
      <c r="F39" s="4" t="s">
        <v>41</v>
      </c>
      <c r="G39" s="4" t="s">
        <v>42</v>
      </c>
      <c r="H39" s="5" t="n">
        <f>24660.0</f>
        <v>24660.0</v>
      </c>
    </row>
    <row r="40">
      <c r="A40" s="3" t="s">
        <v>72</v>
      </c>
      <c r="B40" s="4" t="s">
        <v>77</v>
      </c>
      <c r="C40" s="4" t="s">
        <v>78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6400.0</f>
        <v>6400.0</v>
      </c>
    </row>
    <row r="41">
      <c r="A41" s="3" t="s">
        <v>72</v>
      </c>
      <c r="B41" s="4" t="s">
        <v>77</v>
      </c>
      <c r="C41" s="4" t="s">
        <v>78</v>
      </c>
      <c r="D41" s="3" t="n">
        <v>4.0</v>
      </c>
      <c r="E41" s="4" t="s">
        <v>13</v>
      </c>
      <c r="F41" s="4" t="s">
        <v>14</v>
      </c>
      <c r="G41" s="4" t="s">
        <v>15</v>
      </c>
      <c r="H41" s="5" t="n">
        <f>164.0</f>
        <v>164.0</v>
      </c>
    </row>
    <row r="42">
      <c r="A42" s="3" t="s">
        <v>72</v>
      </c>
      <c r="B42" s="4" t="s">
        <v>77</v>
      </c>
      <c r="C42" s="4" t="s">
        <v>78</v>
      </c>
      <c r="D42" s="3" t="n">
        <v>5.0</v>
      </c>
      <c r="E42" s="4" t="s">
        <v>19</v>
      </c>
      <c r="F42" s="4" t="s">
        <v>20</v>
      </c>
      <c r="G42" s="4" t="s">
        <v>21</v>
      </c>
      <c r="H42" s="5" t="n">
        <f>108.0</f>
        <v>108.0</v>
      </c>
    </row>
    <row r="43">
      <c r="A43" s="3" t="s">
        <v>72</v>
      </c>
      <c r="B43" s="4" t="s">
        <v>77</v>
      </c>
      <c r="C43" s="4" t="s">
        <v>78</v>
      </c>
      <c r="D43" s="3" t="n">
        <v>6.0</v>
      </c>
      <c r="E43" s="4" t="s">
        <v>16</v>
      </c>
      <c r="F43" s="4" t="s">
        <v>17</v>
      </c>
      <c r="G43" s="4" t="s">
        <v>18</v>
      </c>
      <c r="H43" s="5" t="n">
        <f>83.0</f>
        <v>83.0</v>
      </c>
    </row>
    <row r="44">
      <c r="A44" s="3" t="s">
        <v>72</v>
      </c>
      <c r="B44" s="4" t="s">
        <v>77</v>
      </c>
      <c r="C44" s="4" t="s">
        <v>78</v>
      </c>
      <c r="D44" s="3" t="n">
        <v>7.0</v>
      </c>
      <c r="E44" s="4" t="s">
        <v>58</v>
      </c>
      <c r="F44" s="4" t="s">
        <v>59</v>
      </c>
      <c r="G44" s="4" t="s">
        <v>60</v>
      </c>
      <c r="H44" s="5" t="n">
        <f>33.0</f>
        <v>33.0</v>
      </c>
    </row>
    <row r="45">
      <c r="A45" s="3" t="s">
        <v>79</v>
      </c>
      <c r="B45" s="4" t="s">
        <v>80</v>
      </c>
      <c r="C45" s="4" t="s">
        <v>81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4872.0</f>
        <v>4872.0</v>
      </c>
    </row>
    <row r="46">
      <c r="A46" s="3" t="s">
        <v>79</v>
      </c>
      <c r="B46" s="4" t="s">
        <v>80</v>
      </c>
      <c r="C46" s="4" t="s">
        <v>81</v>
      </c>
      <c r="D46" s="3" t="n">
        <v>2.0</v>
      </c>
      <c r="E46" s="4" t="s">
        <v>34</v>
      </c>
      <c r="F46" s="4" t="s">
        <v>35</v>
      </c>
      <c r="G46" s="4" t="s">
        <v>36</v>
      </c>
      <c r="H46" s="5" t="n">
        <f>2958.0</f>
        <v>2958.0</v>
      </c>
    </row>
    <row r="47">
      <c r="A47" s="3" t="s">
        <v>79</v>
      </c>
      <c r="B47" s="4" t="s">
        <v>80</v>
      </c>
      <c r="C47" s="4" t="s">
        <v>81</v>
      </c>
      <c r="D47" s="3" t="n">
        <v>3.0</v>
      </c>
      <c r="E47" s="4" t="s">
        <v>31</v>
      </c>
      <c r="F47" s="4" t="s">
        <v>32</v>
      </c>
      <c r="G47" s="4" t="s">
        <v>33</v>
      </c>
      <c r="H47" s="5" t="n">
        <f>2684.0</f>
        <v>2684.0</v>
      </c>
    </row>
    <row r="48">
      <c r="A48" s="3" t="s">
        <v>79</v>
      </c>
      <c r="B48" s="4" t="s">
        <v>80</v>
      </c>
      <c r="C48" s="4" t="s">
        <v>81</v>
      </c>
      <c r="D48" s="3" t="n">
        <v>4.0</v>
      </c>
      <c r="E48" s="4" t="s">
        <v>67</v>
      </c>
      <c r="F48" s="4" t="s">
        <v>68</v>
      </c>
      <c r="G48" s="4" t="s">
        <v>69</v>
      </c>
      <c r="H48" s="5" t="n">
        <f>2356.0</f>
        <v>2356.0</v>
      </c>
    </row>
    <row r="49">
      <c r="A49" s="3" t="s">
        <v>79</v>
      </c>
      <c r="B49" s="4" t="s">
        <v>80</v>
      </c>
      <c r="C49" s="4" t="s">
        <v>81</v>
      </c>
      <c r="D49" s="3" t="n">
        <v>5.0</v>
      </c>
      <c r="E49" s="4" t="s">
        <v>52</v>
      </c>
      <c r="F49" s="4" t="s">
        <v>53</v>
      </c>
      <c r="G49" s="4" t="s">
        <v>54</v>
      </c>
      <c r="H49" s="5" t="n">
        <f>1550.0</f>
        <v>1550.0</v>
      </c>
    </row>
    <row r="50">
      <c r="A50" s="3" t="s">
        <v>79</v>
      </c>
      <c r="B50" s="4" t="s">
        <v>80</v>
      </c>
      <c r="C50" s="4" t="s">
        <v>81</v>
      </c>
      <c r="D50" s="3" t="n">
        <v>6.0</v>
      </c>
      <c r="E50" s="4" t="s">
        <v>46</v>
      </c>
      <c r="F50" s="4" t="s">
        <v>47</v>
      </c>
      <c r="G50" s="4" t="s">
        <v>48</v>
      </c>
      <c r="H50" s="5" t="n">
        <f>850.0</f>
        <v>850.0</v>
      </c>
    </row>
    <row r="51">
      <c r="A51" s="3" t="s">
        <v>79</v>
      </c>
      <c r="B51" s="4" t="s">
        <v>80</v>
      </c>
      <c r="C51" s="4" t="s">
        <v>81</v>
      </c>
      <c r="D51" s="3" t="n">
        <v>7.0</v>
      </c>
      <c r="E51" s="4" t="s">
        <v>13</v>
      </c>
      <c r="F51" s="4" t="s">
        <v>14</v>
      </c>
      <c r="G51" s="4" t="s">
        <v>15</v>
      </c>
      <c r="H51" s="5" t="n">
        <f>415.0</f>
        <v>415.0</v>
      </c>
    </row>
    <row r="52">
      <c r="A52" s="3" t="s">
        <v>79</v>
      </c>
      <c r="B52" s="4" t="s">
        <v>80</v>
      </c>
      <c r="C52" s="4" t="s">
        <v>81</v>
      </c>
      <c r="D52" s="3" t="n">
        <v>8.0</v>
      </c>
      <c r="E52" s="4" t="s">
        <v>16</v>
      </c>
      <c r="F52" s="4" t="s">
        <v>17</v>
      </c>
      <c r="G52" s="4" t="s">
        <v>18</v>
      </c>
      <c r="H52" s="5" t="n">
        <f>338.0</f>
        <v>338.0</v>
      </c>
    </row>
    <row r="53">
      <c r="A53" s="3" t="s">
        <v>79</v>
      </c>
      <c r="B53" s="4" t="s">
        <v>80</v>
      </c>
      <c r="C53" s="4" t="s">
        <v>81</v>
      </c>
      <c r="D53" s="3" t="n">
        <v>9.0</v>
      </c>
      <c r="E53" s="4" t="s">
        <v>64</v>
      </c>
      <c r="F53" s="4" t="s">
        <v>65</v>
      </c>
      <c r="G53" s="4" t="s">
        <v>66</v>
      </c>
      <c r="H53" s="5" t="n">
        <f>185.0</f>
        <v>185.0</v>
      </c>
    </row>
    <row r="54">
      <c r="A54" s="3" t="s">
        <v>79</v>
      </c>
      <c r="B54" s="4" t="s">
        <v>80</v>
      </c>
      <c r="C54" s="4" t="s">
        <v>81</v>
      </c>
      <c r="D54" s="3" t="n">
        <v>10.0</v>
      </c>
      <c r="E54" s="4" t="s">
        <v>58</v>
      </c>
      <c r="F54" s="4" t="s">
        <v>59</v>
      </c>
      <c r="G54" s="4" t="s">
        <v>60</v>
      </c>
      <c r="H54" s="5" t="n">
        <f>181.0</f>
        <v>181.0</v>
      </c>
    </row>
    <row r="55">
      <c r="A55" s="3" t="s">
        <v>79</v>
      </c>
      <c r="B55" s="4" t="s">
        <v>80</v>
      </c>
      <c r="C55" s="4" t="s">
        <v>81</v>
      </c>
      <c r="D55" s="3" t="n">
        <v>11.0</v>
      </c>
      <c r="E55" s="4" t="s">
        <v>37</v>
      </c>
      <c r="F55" s="4" t="s">
        <v>38</v>
      </c>
      <c r="G55" s="4" t="s">
        <v>39</v>
      </c>
      <c r="H55" s="5" t="n">
        <f>180.0</f>
        <v>180.0</v>
      </c>
    </row>
    <row r="56">
      <c r="A56" s="3" t="s">
        <v>79</v>
      </c>
      <c r="B56" s="4" t="s">
        <v>80</v>
      </c>
      <c r="C56" s="4" t="s">
        <v>81</v>
      </c>
      <c r="D56" s="3" t="n">
        <v>12.0</v>
      </c>
      <c r="E56" s="4" t="s">
        <v>25</v>
      </c>
      <c r="F56" s="4" t="s">
        <v>26</v>
      </c>
      <c r="G56" s="4" t="s">
        <v>27</v>
      </c>
      <c r="H56" s="5" t="n">
        <f>100.0</f>
        <v>100.0</v>
      </c>
    </row>
    <row r="57">
      <c r="A57" s="3" t="s">
        <v>79</v>
      </c>
      <c r="B57" s="4" t="s">
        <v>80</v>
      </c>
      <c r="C57" s="4" t="s">
        <v>81</v>
      </c>
      <c r="D57" s="3" t="n">
        <v>13.0</v>
      </c>
      <c r="E57" s="4" t="s">
        <v>49</v>
      </c>
      <c r="F57" s="4" t="s">
        <v>50</v>
      </c>
      <c r="G57" s="4" t="s">
        <v>51</v>
      </c>
      <c r="H57" s="5" t="n">
        <f>58.0</f>
        <v>58.0</v>
      </c>
    </row>
    <row r="58">
      <c r="A58" s="3" t="s">
        <v>79</v>
      </c>
      <c r="B58" s="4" t="s">
        <v>80</v>
      </c>
      <c r="C58" s="4" t="s">
        <v>81</v>
      </c>
      <c r="D58" s="3" t="n">
        <v>14.0</v>
      </c>
      <c r="E58" s="4" t="s">
        <v>43</v>
      </c>
      <c r="F58" s="4" t="s">
        <v>44</v>
      </c>
      <c r="G58" s="4" t="s">
        <v>45</v>
      </c>
      <c r="H58" s="5" t="n">
        <f>33.0</f>
        <v>33.0</v>
      </c>
    </row>
    <row r="59">
      <c r="A59" s="3" t="s">
        <v>79</v>
      </c>
      <c r="B59" s="4" t="s">
        <v>80</v>
      </c>
      <c r="C59" s="4" t="s">
        <v>81</v>
      </c>
      <c r="D59" s="3" t="n">
        <v>15.0</v>
      </c>
      <c r="E59" s="4" t="s">
        <v>61</v>
      </c>
      <c r="F59" s="4" t="s">
        <v>62</v>
      </c>
      <c r="G59" s="4" t="s">
        <v>63</v>
      </c>
      <c r="H59" s="5" t="n">
        <f>10.0</f>
        <v>10.0</v>
      </c>
    </row>
    <row r="60">
      <c r="A60" s="3" t="s">
        <v>79</v>
      </c>
      <c r="B60" s="4" t="s">
        <v>82</v>
      </c>
      <c r="C60" s="4" t="s">
        <v>83</v>
      </c>
      <c r="D60" s="3" t="n">
        <v>1.0</v>
      </c>
      <c r="E60" s="4" t="s">
        <v>31</v>
      </c>
      <c r="F60" s="4" t="s">
        <v>32</v>
      </c>
      <c r="G60" s="4" t="s">
        <v>33</v>
      </c>
      <c r="H60" s="5" t="n">
        <f>700.0</f>
        <v>700.0</v>
      </c>
    </row>
    <row r="61">
      <c r="A61" s="3" t="s">
        <v>79</v>
      </c>
      <c r="B61" s="4" t="s">
        <v>82</v>
      </c>
      <c r="C61" s="4" t="s">
        <v>83</v>
      </c>
      <c r="D61" s="3" t="n">
        <v>2.0</v>
      </c>
      <c r="E61" s="4" t="s">
        <v>46</v>
      </c>
      <c r="F61" s="4" t="s">
        <v>47</v>
      </c>
      <c r="G61" s="4" t="s">
        <v>48</v>
      </c>
      <c r="H61" s="5" t="n">
        <f>350.0</f>
        <v>350.0</v>
      </c>
    </row>
    <row r="62">
      <c r="A62" s="3" t="s">
        <v>79</v>
      </c>
      <c r="B62" s="4" t="s">
        <v>82</v>
      </c>
      <c r="C62" s="4" t="s">
        <v>83</v>
      </c>
      <c r="D62" s="3" t="n">
        <v>2.0</v>
      </c>
      <c r="E62" s="4" t="s">
        <v>34</v>
      </c>
      <c r="F62" s="4" t="s">
        <v>35</v>
      </c>
      <c r="G62" s="4" t="s">
        <v>36</v>
      </c>
      <c r="H62" s="5" t="n">
        <f>350.0</f>
        <v>350.0</v>
      </c>
    </row>
    <row r="63">
      <c r="A63" s="3" t="s">
        <v>84</v>
      </c>
      <c r="B63" s="4" t="s">
        <v>85</v>
      </c>
      <c r="C63" s="4" t="s">
        <v>86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20.0</f>
        <v>20.0</v>
      </c>
    </row>
    <row r="64">
      <c r="A64" s="3" t="s">
        <v>84</v>
      </c>
      <c r="B64" s="4" t="s">
        <v>85</v>
      </c>
      <c r="C64" s="4" t="s">
        <v>86</v>
      </c>
      <c r="D64" s="3" t="n">
        <v>2.0</v>
      </c>
      <c r="E64" s="4" t="s">
        <v>37</v>
      </c>
      <c r="F64" s="4" t="s">
        <v>38</v>
      </c>
      <c r="G64" s="4" t="s">
        <v>39</v>
      </c>
      <c r="H64" s="5" t="n">
        <f>6.0</f>
        <v>6.0</v>
      </c>
    </row>
    <row r="65">
      <c r="A65" s="3" t="s">
        <v>84</v>
      </c>
      <c r="B65" s="4" t="s">
        <v>87</v>
      </c>
      <c r="C65" s="4" t="s">
        <v>88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580.0</f>
        <v>580.0</v>
      </c>
    </row>
    <row r="66">
      <c r="A66" s="3" t="s">
        <v>84</v>
      </c>
      <c r="B66" s="4" t="s">
        <v>87</v>
      </c>
      <c r="C66" s="4" t="s">
        <v>88</v>
      </c>
      <c r="D66" s="3" t="n">
        <v>2.0</v>
      </c>
      <c r="E66" s="4" t="s">
        <v>28</v>
      </c>
      <c r="F66" s="4" t="s">
        <v>29</v>
      </c>
      <c r="G66" s="4" t="s">
        <v>30</v>
      </c>
      <c r="H66" s="5" t="n">
        <f>400.0</f>
        <v>400.0</v>
      </c>
    </row>
    <row r="67">
      <c r="A67" s="3" t="s">
        <v>84</v>
      </c>
      <c r="B67" s="4" t="s">
        <v>87</v>
      </c>
      <c r="C67" s="4" t="s">
        <v>88</v>
      </c>
      <c r="D67" s="3" t="n">
        <v>3.0</v>
      </c>
      <c r="E67" s="4" t="s">
        <v>37</v>
      </c>
      <c r="F67" s="4" t="s">
        <v>38</v>
      </c>
      <c r="G67" s="4" t="s">
        <v>39</v>
      </c>
      <c r="H67" s="5" t="n">
        <f>108.0</f>
        <v>108.0</v>
      </c>
    </row>
    <row r="68">
      <c r="A68" s="3" t="s">
        <v>84</v>
      </c>
      <c r="B68" s="4" t="s">
        <v>87</v>
      </c>
      <c r="C68" s="4" t="s">
        <v>88</v>
      </c>
      <c r="D68" s="3" t="n">
        <v>4.0</v>
      </c>
      <c r="E68" s="4" t="s">
        <v>49</v>
      </c>
      <c r="F68" s="4" t="s">
        <v>50</v>
      </c>
      <c r="G68" s="4" t="s">
        <v>51</v>
      </c>
      <c r="H68" s="5" t="n">
        <f>100.0</f>
        <v>100.0</v>
      </c>
    </row>
    <row r="69">
      <c r="A69" s="3" t="s">
        <v>84</v>
      </c>
      <c r="B69" s="4" t="s">
        <v>89</v>
      </c>
      <c r="C69" s="4" t="s">
        <v>90</v>
      </c>
      <c r="D69" s="3" t="n">
        <v>1.0</v>
      </c>
      <c r="E69" s="4" t="s">
        <v>37</v>
      </c>
      <c r="F69" s="4" t="s">
        <v>38</v>
      </c>
      <c r="G69" s="4" t="s">
        <v>39</v>
      </c>
      <c r="H69" s="5" t="n">
        <f>4.0</f>
        <v>4.0</v>
      </c>
    </row>
    <row r="70">
      <c r="A70" s="3" t="s">
        <v>84</v>
      </c>
      <c r="B70" s="4" t="s">
        <v>91</v>
      </c>
      <c r="C70" s="4" t="s">
        <v>92</v>
      </c>
      <c r="D70" s="3" t="n">
        <v>1.0</v>
      </c>
      <c r="E70" s="4" t="s">
        <v>37</v>
      </c>
      <c r="F70" s="4" t="s">
        <v>38</v>
      </c>
      <c r="G70" s="4" t="s">
        <v>39</v>
      </c>
      <c r="H70" s="5" t="n">
        <f>2.0</f>
        <v>2.0</v>
      </c>
    </row>
    <row r="71">
      <c r="A71" s="3" t="s">
        <v>84</v>
      </c>
      <c r="B71" s="4" t="s">
        <v>93</v>
      </c>
      <c r="C71" s="4" t="s">
        <v>94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4.0</f>
        <v>4.0</v>
      </c>
    </row>
    <row r="72">
      <c r="A72" s="3" t="s">
        <v>84</v>
      </c>
      <c r="B72" s="4" t="s">
        <v>95</v>
      </c>
      <c r="C72" s="4" t="s">
        <v>96</v>
      </c>
      <c r="D72" s="3" t="n">
        <v>1.0</v>
      </c>
      <c r="E72" s="4" t="s">
        <v>43</v>
      </c>
      <c r="F72" s="4" t="s">
        <v>44</v>
      </c>
      <c r="G72" s="4" t="s">
        <v>45</v>
      </c>
      <c r="H72" s="5" t="n">
        <f>200.0</f>
        <v>200.0</v>
      </c>
    </row>
    <row r="73">
      <c r="A73" s="3" t="s">
        <v>84</v>
      </c>
      <c r="B73" s="4" t="s">
        <v>95</v>
      </c>
      <c r="C73" s="4" t="s">
        <v>96</v>
      </c>
      <c r="D73" s="3" t="n">
        <v>2.0</v>
      </c>
      <c r="E73" s="4" t="s">
        <v>46</v>
      </c>
      <c r="F73" s="4" t="s">
        <v>47</v>
      </c>
      <c r="G73" s="4" t="s">
        <v>48</v>
      </c>
      <c r="H73" s="5" t="n">
        <f>100.0</f>
        <v>100.0</v>
      </c>
    </row>
    <row r="74">
      <c r="A74" s="3" t="s">
        <v>84</v>
      </c>
      <c r="B74" s="4" t="s">
        <v>95</v>
      </c>
      <c r="C74" s="4" t="s">
        <v>96</v>
      </c>
      <c r="D74" s="3" t="n">
        <v>2.0</v>
      </c>
      <c r="E74" s="4" t="s">
        <v>49</v>
      </c>
      <c r="F74" s="4" t="s">
        <v>50</v>
      </c>
      <c r="G74" s="4" t="s">
        <v>51</v>
      </c>
      <c r="H74" s="5" t="n">
        <f>100.0</f>
        <v>100.0</v>
      </c>
    </row>
    <row r="75">
      <c r="A75" s="3" t="s">
        <v>84</v>
      </c>
      <c r="B75" s="4" t="s">
        <v>95</v>
      </c>
      <c r="C75" s="4" t="s">
        <v>96</v>
      </c>
      <c r="D75" s="3" t="n">
        <v>4.0</v>
      </c>
      <c r="E75" s="4" t="s">
        <v>37</v>
      </c>
      <c r="F75" s="4" t="s">
        <v>38</v>
      </c>
      <c r="G75" s="4" t="s">
        <v>39</v>
      </c>
      <c r="H75" s="5" t="n">
        <f>14.0</f>
        <v>14.0</v>
      </c>
    </row>
    <row r="76">
      <c r="A76" s="3" t="s">
        <v>84</v>
      </c>
      <c r="B76" s="4" t="s">
        <v>97</v>
      </c>
      <c r="C76" s="4" t="s">
        <v>98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14.0</f>
        <v>14.0</v>
      </c>
    </row>
    <row r="77">
      <c r="A77" s="3" t="s">
        <v>84</v>
      </c>
      <c r="B77" s="4" t="s">
        <v>99</v>
      </c>
      <c r="C77" s="4" t="s">
        <v>100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200.0</f>
        <v>200.0</v>
      </c>
    </row>
    <row r="78">
      <c r="A78" s="3" t="s">
        <v>84</v>
      </c>
      <c r="B78" s="4" t="s">
        <v>99</v>
      </c>
      <c r="C78" s="4" t="s">
        <v>100</v>
      </c>
      <c r="D78" s="3" t="n">
        <v>2.0</v>
      </c>
      <c r="E78" s="4" t="s">
        <v>49</v>
      </c>
      <c r="F78" s="4" t="s">
        <v>50</v>
      </c>
      <c r="G78" s="4" t="s">
        <v>51</v>
      </c>
      <c r="H78" s="5" t="n">
        <f>100.0</f>
        <v>100.0</v>
      </c>
    </row>
    <row r="79">
      <c r="A79" s="3" t="s">
        <v>84</v>
      </c>
      <c r="B79" s="4" t="s">
        <v>99</v>
      </c>
      <c r="C79" s="4" t="s">
        <v>100</v>
      </c>
      <c r="D79" s="3" t="n">
        <v>2.0</v>
      </c>
      <c r="E79" s="4" t="s">
        <v>58</v>
      </c>
      <c r="F79" s="4" t="s">
        <v>59</v>
      </c>
      <c r="G79" s="4" t="s">
        <v>60</v>
      </c>
      <c r="H79" s="5" t="n">
        <f>100.0</f>
        <v>100.0</v>
      </c>
    </row>
    <row r="80">
      <c r="A80" s="3" t="s">
        <v>84</v>
      </c>
      <c r="B80" s="4" t="s">
        <v>99</v>
      </c>
      <c r="C80" s="4" t="s">
        <v>100</v>
      </c>
      <c r="D80" s="3" t="n">
        <v>2.0</v>
      </c>
      <c r="E80" s="4" t="s">
        <v>28</v>
      </c>
      <c r="F80" s="4" t="s">
        <v>29</v>
      </c>
      <c r="G80" s="4" t="s">
        <v>30</v>
      </c>
      <c r="H80" s="5" t="n">
        <f>100.0</f>
        <v>100.0</v>
      </c>
    </row>
    <row r="81">
      <c r="A81" s="3" t="s">
        <v>84</v>
      </c>
      <c r="B81" s="4" t="s">
        <v>99</v>
      </c>
      <c r="C81" s="4" t="s">
        <v>100</v>
      </c>
      <c r="D81" s="3" t="n">
        <v>2.0</v>
      </c>
      <c r="E81" s="4" t="s">
        <v>25</v>
      </c>
      <c r="F81" s="4" t="s">
        <v>26</v>
      </c>
      <c r="G81" s="4" t="s">
        <v>27</v>
      </c>
      <c r="H81" s="5" t="n">
        <f>100.0</f>
        <v>100.0</v>
      </c>
    </row>
    <row r="82">
      <c r="A82" s="3" t="s">
        <v>84</v>
      </c>
      <c r="B82" s="4" t="s">
        <v>99</v>
      </c>
      <c r="C82" s="4" t="s">
        <v>100</v>
      </c>
      <c r="D82" s="3" t="n">
        <v>6.0</v>
      </c>
      <c r="E82" s="4" t="s">
        <v>37</v>
      </c>
      <c r="F82" s="4" t="s">
        <v>38</v>
      </c>
      <c r="G82" s="4" t="s">
        <v>39</v>
      </c>
      <c r="H82" s="5" t="n">
        <f>28.0</f>
        <v>28.0</v>
      </c>
    </row>
    <row r="83">
      <c r="A83" s="3" t="s">
        <v>84</v>
      </c>
      <c r="B83" s="4" t="s">
        <v>101</v>
      </c>
      <c r="C83" s="4" t="s">
        <v>102</v>
      </c>
      <c r="D83" s="3" t="n">
        <v>1.0</v>
      </c>
      <c r="E83" s="4" t="s">
        <v>58</v>
      </c>
      <c r="F83" s="4" t="s">
        <v>59</v>
      </c>
      <c r="G83" s="4" t="s">
        <v>60</v>
      </c>
      <c r="H83" s="5" t="n">
        <f>10.0</f>
        <v>10.0</v>
      </c>
    </row>
    <row r="84">
      <c r="A84" s="3" t="s">
        <v>84</v>
      </c>
      <c r="B84" s="4" t="s">
        <v>101</v>
      </c>
      <c r="C84" s="4" t="s">
        <v>102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10.0</f>
        <v>10.0</v>
      </c>
    </row>
    <row r="85">
      <c r="A85" s="3" t="s">
        <v>84</v>
      </c>
      <c r="B85" s="4" t="s">
        <v>101</v>
      </c>
      <c r="C85" s="4" t="s">
        <v>102</v>
      </c>
      <c r="D85" s="3" t="n">
        <v>3.0</v>
      </c>
      <c r="E85" s="4" t="s">
        <v>37</v>
      </c>
      <c r="F85" s="4" t="s">
        <v>38</v>
      </c>
      <c r="G85" s="4" t="s">
        <v>39</v>
      </c>
      <c r="H85" s="5" t="n">
        <f>8.0</f>
        <v>8.0</v>
      </c>
    </row>
    <row r="86">
      <c r="A86" s="3" t="s">
        <v>84</v>
      </c>
      <c r="B86" s="4" t="s">
        <v>103</v>
      </c>
      <c r="C86" s="4" t="s">
        <v>104</v>
      </c>
      <c r="D86" s="3" t="n">
        <v>1.0</v>
      </c>
      <c r="E86" s="4" t="s">
        <v>25</v>
      </c>
      <c r="F86" s="4" t="s">
        <v>26</v>
      </c>
      <c r="G86" s="4" t="s">
        <v>27</v>
      </c>
      <c r="H86" s="5" t="n">
        <f>200.0</f>
        <v>200.0</v>
      </c>
    </row>
    <row r="87">
      <c r="A87" s="3" t="s">
        <v>84</v>
      </c>
      <c r="B87" s="4" t="s">
        <v>103</v>
      </c>
      <c r="C87" s="4" t="s">
        <v>104</v>
      </c>
      <c r="D87" s="3" t="n">
        <v>2.0</v>
      </c>
      <c r="E87" s="4" t="s">
        <v>31</v>
      </c>
      <c r="F87" s="4" t="s">
        <v>32</v>
      </c>
      <c r="G87" s="4" t="s">
        <v>33</v>
      </c>
      <c r="H87" s="5" t="n">
        <f>100.0</f>
        <v>100.0</v>
      </c>
    </row>
    <row r="88">
      <c r="A88" s="3" t="s">
        <v>84</v>
      </c>
      <c r="B88" s="4" t="s">
        <v>103</v>
      </c>
      <c r="C88" s="4" t="s">
        <v>104</v>
      </c>
      <c r="D88" s="3" t="n">
        <v>2.0</v>
      </c>
      <c r="E88" s="4" t="s">
        <v>28</v>
      </c>
      <c r="F88" s="4" t="s">
        <v>29</v>
      </c>
      <c r="G88" s="4" t="s">
        <v>30</v>
      </c>
      <c r="H88" s="5" t="n">
        <f>100.0</f>
        <v>100.0</v>
      </c>
    </row>
    <row r="89">
      <c r="A89" s="3" t="s">
        <v>84</v>
      </c>
      <c r="B89" s="4" t="s">
        <v>103</v>
      </c>
      <c r="C89" s="4" t="s">
        <v>104</v>
      </c>
      <c r="D89" s="3" t="n">
        <v>4.0</v>
      </c>
      <c r="E89" s="4" t="s">
        <v>37</v>
      </c>
      <c r="F89" s="4" t="s">
        <v>38</v>
      </c>
      <c r="G89" s="4" t="s">
        <v>39</v>
      </c>
      <c r="H89" s="5" t="n">
        <f>28.0</f>
        <v>28.0</v>
      </c>
    </row>
    <row r="90">
      <c r="A90" s="3" t="s">
        <v>84</v>
      </c>
      <c r="B90" s="4" t="s">
        <v>105</v>
      </c>
      <c r="C90" s="4" t="s">
        <v>106</v>
      </c>
      <c r="D90" s="3" t="n">
        <v>1.0</v>
      </c>
      <c r="E90" s="4" t="s">
        <v>37</v>
      </c>
      <c r="F90" s="4" t="s">
        <v>38</v>
      </c>
      <c r="G90" s="4" t="s">
        <v>39</v>
      </c>
      <c r="H90" s="5" t="n">
        <f>4.0</f>
        <v>4.0</v>
      </c>
    </row>
    <row r="91">
      <c r="A91" s="3" t="s">
        <v>84</v>
      </c>
      <c r="B91" s="4" t="s">
        <v>107</v>
      </c>
      <c r="C91" s="4" t="s">
        <v>108</v>
      </c>
      <c r="D91" s="3" t="n">
        <v>1.0</v>
      </c>
      <c r="E91" s="4" t="s">
        <v>22</v>
      </c>
      <c r="F91" s="4" t="s">
        <v>23</v>
      </c>
      <c r="G91" s="4" t="s">
        <v>24</v>
      </c>
      <c r="H91" s="5" t="n">
        <f>1000.0</f>
        <v>1000.0</v>
      </c>
    </row>
    <row r="92">
      <c r="A92" s="3" t="s">
        <v>84</v>
      </c>
      <c r="B92" s="4" t="s">
        <v>107</v>
      </c>
      <c r="C92" s="4" t="s">
        <v>108</v>
      </c>
      <c r="D92" s="3" t="n">
        <v>2.0</v>
      </c>
      <c r="E92" s="4" t="s">
        <v>31</v>
      </c>
      <c r="F92" s="4" t="s">
        <v>32</v>
      </c>
      <c r="G92" s="4" t="s">
        <v>33</v>
      </c>
      <c r="H92" s="5" t="n">
        <f>400.0</f>
        <v>400.0</v>
      </c>
    </row>
    <row r="93">
      <c r="A93" s="3" t="s">
        <v>84</v>
      </c>
      <c r="B93" s="4" t="s">
        <v>107</v>
      </c>
      <c r="C93" s="4" t="s">
        <v>108</v>
      </c>
      <c r="D93" s="3" t="n">
        <v>3.0</v>
      </c>
      <c r="E93" s="4" t="s">
        <v>43</v>
      </c>
      <c r="F93" s="4" t="s">
        <v>44</v>
      </c>
      <c r="G93" s="4" t="s">
        <v>45</v>
      </c>
      <c r="H93" s="5" t="n">
        <f>200.0</f>
        <v>200.0</v>
      </c>
    </row>
    <row r="94">
      <c r="A94" s="3" t="s">
        <v>84</v>
      </c>
      <c r="B94" s="4" t="s">
        <v>107</v>
      </c>
      <c r="C94" s="4" t="s">
        <v>108</v>
      </c>
      <c r="D94" s="3" t="n">
        <v>4.0</v>
      </c>
      <c r="E94" s="4" t="s">
        <v>46</v>
      </c>
      <c r="F94" s="4" t="s">
        <v>47</v>
      </c>
      <c r="G94" s="4" t="s">
        <v>48</v>
      </c>
      <c r="H94" s="5" t="n">
        <f>100.0</f>
        <v>100.0</v>
      </c>
    </row>
    <row r="95">
      <c r="A95" s="3" t="s">
        <v>84</v>
      </c>
      <c r="B95" s="4" t="s">
        <v>107</v>
      </c>
      <c r="C95" s="4" t="s">
        <v>108</v>
      </c>
      <c r="D95" s="3" t="n">
        <v>4.0</v>
      </c>
      <c r="E95" s="4" t="s">
        <v>49</v>
      </c>
      <c r="F95" s="4" t="s">
        <v>50</v>
      </c>
      <c r="G95" s="4" t="s">
        <v>51</v>
      </c>
      <c r="H95" s="5" t="n">
        <f>100.0</f>
        <v>100.0</v>
      </c>
    </row>
    <row r="96">
      <c r="A96" s="3" t="s">
        <v>84</v>
      </c>
      <c r="B96" s="4" t="s">
        <v>107</v>
      </c>
      <c r="C96" s="4" t="s">
        <v>108</v>
      </c>
      <c r="D96" s="3" t="n">
        <v>4.0</v>
      </c>
      <c r="E96" s="4" t="s">
        <v>16</v>
      </c>
      <c r="F96" s="4" t="s">
        <v>17</v>
      </c>
      <c r="G96" s="4" t="s">
        <v>18</v>
      </c>
      <c r="H96" s="5" t="n">
        <f>100.0</f>
        <v>100.0</v>
      </c>
    </row>
    <row r="97">
      <c r="A97" s="3" t="s">
        <v>84</v>
      </c>
      <c r="B97" s="4" t="s">
        <v>107</v>
      </c>
      <c r="C97" s="4" t="s">
        <v>108</v>
      </c>
      <c r="D97" s="3" t="n">
        <v>7.0</v>
      </c>
      <c r="E97" s="4" t="s">
        <v>58</v>
      </c>
      <c r="F97" s="4" t="s">
        <v>59</v>
      </c>
      <c r="G97" s="4" t="s">
        <v>60</v>
      </c>
      <c r="H97" s="5" t="n">
        <f>50.0</f>
        <v>50.0</v>
      </c>
    </row>
    <row r="98">
      <c r="A98" s="3" t="s">
        <v>84</v>
      </c>
      <c r="B98" s="4" t="s">
        <v>107</v>
      </c>
      <c r="C98" s="4" t="s">
        <v>108</v>
      </c>
      <c r="D98" s="3" t="n">
        <v>7.0</v>
      </c>
      <c r="E98" s="4" t="s">
        <v>28</v>
      </c>
      <c r="F98" s="4" t="s">
        <v>29</v>
      </c>
      <c r="G98" s="4" t="s">
        <v>30</v>
      </c>
      <c r="H98" s="5" t="n">
        <f>50.0</f>
        <v>50.0</v>
      </c>
    </row>
    <row r="99">
      <c r="A99" s="3" t="s">
        <v>84</v>
      </c>
      <c r="B99" s="4" t="s">
        <v>107</v>
      </c>
      <c r="C99" s="4" t="s">
        <v>108</v>
      </c>
      <c r="D99" s="3" t="n">
        <v>9.0</v>
      </c>
      <c r="E99" s="4" t="s">
        <v>37</v>
      </c>
      <c r="F99" s="4" t="s">
        <v>38</v>
      </c>
      <c r="G99" s="4" t="s">
        <v>39</v>
      </c>
      <c r="H99" s="5" t="n">
        <f>34.0</f>
        <v>34.0</v>
      </c>
    </row>
    <row r="100">
      <c r="A100" s="3" t="s">
        <v>84</v>
      </c>
      <c r="B100" s="4" t="s">
        <v>109</v>
      </c>
      <c r="C100" s="4" t="s">
        <v>110</v>
      </c>
      <c r="D100" s="3" t="n">
        <v>1.0</v>
      </c>
      <c r="E100" s="4" t="s">
        <v>37</v>
      </c>
      <c r="F100" s="4" t="s">
        <v>38</v>
      </c>
      <c r="G100" s="4" t="s">
        <v>39</v>
      </c>
      <c r="H100" s="5" t="n">
        <f>4.0</f>
        <v>4.0</v>
      </c>
    </row>
    <row r="101">
      <c r="A101" s="3" t="s">
        <v>84</v>
      </c>
      <c r="B101" s="4" t="s">
        <v>111</v>
      </c>
      <c r="C101" s="4" t="s">
        <v>112</v>
      </c>
      <c r="D101" s="3" t="n">
        <v>1.0</v>
      </c>
      <c r="E101" s="4" t="s">
        <v>37</v>
      </c>
      <c r="F101" s="4" t="s">
        <v>38</v>
      </c>
      <c r="G101" s="4" t="s">
        <v>39</v>
      </c>
      <c r="H101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