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<sst xmlns="http://schemas.openxmlformats.org/spreadsheetml/2006/main" count="394" uniqueCount="98">
  <si>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</si>
  <si>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</si>
  <si>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</si>
  <si>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</si>
  <si>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</si>
  <si>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</si>
  <si>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</si>
  <si>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</si>
  <si>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</si>
  <si>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20260421</t>
  </si>
  <si>
    <t>NK225F</t>
  </si>
  <si>
    <t>161060018</t>
  </si>
  <si>
    <t>NIKKEI 225 FUT 2606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</si>
  <si>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</si>
  <si>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</si>
  <si>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</si>
  <si>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</si>
  <si>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</si>
  <si>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</si>
  <si>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</si>
  <si>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</si>
  <si>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</si>
  <si>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</si>
  <si>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</si>
  <si>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</si>
  <si>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</si>
  <si>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</si>
  <si>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</si>
  <si>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</si>
  <si>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</si>
  <si>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</si>
  <si>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</si>
  <si>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</si>
  <si>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</si>
  <si>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12724</t>
  </si>
  <si>
    <t>ＨＳＢＣ証券</t>
  </si>
  <si>
    <t>HSBC Securities (Japan)</t>
  </si>
  <si>
    <t>12000</t>
  </si>
  <si>
    <t>大和証券</t>
  </si>
  <si>
    <t>Daiwa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</si>
  <si>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</si>
  <si>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</si>
  <si>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</si>
  <si>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</si>
  <si>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</si>
  <si>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</si>
  <si>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</si>
  <si>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</si>
  <si>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</si>
  <si>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</si>
  <si>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</si>
  <si>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</si>
  <si>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</si>
  <si>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</si>
  <si>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</si>
  <si>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</si>
  <si>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</si>
  <si>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</si>
  <si>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</si>
  <si>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</si>
  <si>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</si>
  <si>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</si>
  <si>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</si>
  <si>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</si>
  <si>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</si>
  <si>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</si>
  <si>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</si>
  <si>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</si>
  <si>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</si>
  <si>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</si>
  <si>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161090018</t>
  </si>
  <si>
    <t>NIKKEI 225 FUT 2609</t>
  </si>
  <si>
    <t>12176</t>
  </si>
  <si>
    <t>ドイツ証券</t>
  </si>
  <si>
    <t>Deutsche Securities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</si>
  <si>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</si>
  <si>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</si>
  <si>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</si>
  <si>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</si>
  <si>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</si>
  <si>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</si>
  <si>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</si>
  <si>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</si>
  <si>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</si>
  <si>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</si>
  <si>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161090005</t>
  </si>
  <si>
    <t>TOPIX FUT 2609</t>
  </si>
  <si>
    <t>NK225E</t>
  </si>
  <si>
    <t>181179018</t>
  </si>
  <si>
    <t>NIKKEI 225 OOP P2605-59000</t>
  </si>
  <si>
    <t>131179218</t>
  </si>
  <si>
    <t>NIKKEI 225 OOP P2605-59250</t>
  </si>
  <si>
    <t>131179518</t>
  </si>
  <si>
    <t>NIKKEI 225 OOP P2605-59500</t>
  </si>
  <si>
    <t>191170018</t>
  </si>
  <si>
    <t>NIKKEI 225 OOP C2605-60000</t>
  </si>
  <si>
    <t>141179518</t>
  </si>
  <si>
    <t>NIKKEI 225 OOP C2605-59500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</si>
</sst>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2512.0</f>
        <v>2512.0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2215.0</f>
        <v>2215.0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923.0</f>
        <v>923.0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842.0</f>
        <v>842.0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761.0</f>
        <v>761.0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646.0</f>
        <v>646.0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556.0</f>
        <v>556.0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500.0</f>
        <v>500.0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365.0</f>
        <v>365.0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289.0</f>
        <v>289.0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212.0</f>
        <v>212.0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196.0</f>
        <v>196.0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188.0</f>
        <v>188.0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155.0</f>
        <v>155.0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132.0</f>
        <v>132.0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87.0</f>
        <v>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48.0</f>
        <v>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40.0</f>
        <v>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35.0</f>
        <v>35.0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500.0</f>
        <v>500.0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500.0</f>
        <v>500.0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72</v>
      </c>
      <c r="F30" s="4" t="s">
        <v>73</v>
      </c>
      <c r="G30" s="4" t="s">
        <v>74</v>
      </c>
      <c r="H30" s="5" t="n">
        <f>100.0</f>
        <v>100.0</v>
      </c>
    </row>
    <row r="31">
      <c r="A31" s="3" t="s">
        <v>10</v>
      </c>
      <c r="B31" s="4" t="s">
        <v>70</v>
      </c>
      <c r="C31" s="4" t="s">
        <v>71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40</v>
      </c>
      <c r="F32" s="4" t="s">
        <v>41</v>
      </c>
      <c r="G32" s="4" t="s">
        <v>42</v>
      </c>
      <c r="H32" s="5" t="n">
        <f>4.0</f>
        <v>4.0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49</v>
      </c>
      <c r="F33" s="4" t="s">
        <v>50</v>
      </c>
      <c r="G33" s="4" t="s">
        <v>51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40</v>
      </c>
      <c r="F34" s="4" t="s">
        <v>41</v>
      </c>
      <c r="G34" s="4" t="s">
        <v>42</v>
      </c>
      <c r="H34" s="5" t="n">
        <f>1570.0</f>
        <v>1570.0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49</v>
      </c>
      <c r="F35" s="4" t="s">
        <v>50</v>
      </c>
      <c r="G35" s="4" t="s">
        <v>51</v>
      </c>
      <c r="H35" s="5" t="n">
        <f>1012.0</f>
        <v>1012.0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25</v>
      </c>
      <c r="F36" s="4" t="s">
        <v>26</v>
      </c>
      <c r="G36" s="4" t="s">
        <v>27</v>
      </c>
      <c r="H36" s="5" t="n">
        <f>1000.0</f>
        <v>1000.0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61</v>
      </c>
      <c r="F38" s="4" t="s">
        <v>62</v>
      </c>
      <c r="G38" s="4" t="s">
        <v>63</v>
      </c>
      <c r="H38" s="5" t="n">
        <f>170.0</f>
        <v>170.0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40</v>
      </c>
      <c r="F39" s="4" t="s">
        <v>41</v>
      </c>
      <c r="G39" s="4" t="s">
        <v>42</v>
      </c>
      <c r="H39" s="5" t="n">
        <f>28138.0</f>
        <v>28138.0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49</v>
      </c>
      <c r="F40" s="4" t="s">
        <v>50</v>
      </c>
      <c r="G40" s="4" t="s">
        <v>51</v>
      </c>
      <c r="H40" s="5" t="n">
        <f>17894.0</f>
        <v>17894.0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3330.0</f>
        <v>3330.0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16</v>
      </c>
      <c r="F42" s="4" t="s">
        <v>17</v>
      </c>
      <c r="G42" s="4" t="s">
        <v>18</v>
      </c>
      <c r="H42" s="5" t="n">
        <f>57.0</f>
        <v>57.0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25</v>
      </c>
      <c r="F43" s="4" t="s">
        <v>26</v>
      </c>
      <c r="G43" s="4" t="s">
        <v>27</v>
      </c>
      <c r="H43" s="5" t="n">
        <f>56.0</f>
        <v>56.0</v>
      </c>
    </row>
    <row r="44">
      <c r="A44" s="3" t="s">
        <v>75</v>
      </c>
      <c r="B44" s="4" t="s">
        <v>78</v>
      </c>
      <c r="C44" s="4" t="s">
        <v>79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51.0</f>
        <v>51.0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2.0</f>
        <v>2.0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61</v>
      </c>
      <c r="F46" s="4" t="s">
        <v>62</v>
      </c>
      <c r="G46" s="4" t="s">
        <v>63</v>
      </c>
      <c r="H46" s="5" t="n">
        <f>26.0</f>
        <v>26.0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49</v>
      </c>
      <c r="F47" s="4" t="s">
        <v>50</v>
      </c>
      <c r="G47" s="4" t="s">
        <v>51</v>
      </c>
      <c r="H47" s="5" t="n">
        <f>6.0</f>
        <v>6.0</v>
      </c>
    </row>
    <row r="48">
      <c r="A48" s="3" t="s">
        <v>75</v>
      </c>
      <c r="B48" s="4" t="s">
        <v>80</v>
      </c>
      <c r="C48" s="4" t="s">
        <v>81</v>
      </c>
      <c r="D48" s="3" t="n">
        <v>3.0</v>
      </c>
      <c r="E48" s="4" t="s">
        <v>40</v>
      </c>
      <c r="F48" s="4" t="s">
        <v>41</v>
      </c>
      <c r="G48" s="4" t="s">
        <v>42</v>
      </c>
      <c r="H48" s="5" t="n">
        <f>4.0</f>
        <v>4.0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2428.0</f>
        <v>2428.0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64</v>
      </c>
      <c r="F50" s="4" t="s">
        <v>65</v>
      </c>
      <c r="G50" s="4" t="s">
        <v>66</v>
      </c>
      <c r="H50" s="5" t="n">
        <f>2000.0</f>
        <v>2000.0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979.0</f>
        <v>979.0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971.0</f>
        <v>971.0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31</v>
      </c>
      <c r="F53" s="4" t="s">
        <v>32</v>
      </c>
      <c r="G53" s="4" t="s">
        <v>33</v>
      </c>
      <c r="H53" s="5" t="n">
        <f>824.0</f>
        <v>824.0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25</v>
      </c>
      <c r="F54" s="4" t="s">
        <v>26</v>
      </c>
      <c r="G54" s="4" t="s">
        <v>27</v>
      </c>
      <c r="H54" s="5" t="n">
        <f>798.0</f>
        <v>798.0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28</v>
      </c>
      <c r="F55" s="4" t="s">
        <v>29</v>
      </c>
      <c r="G55" s="4" t="s">
        <v>30</v>
      </c>
      <c r="H55" s="5" t="n">
        <f>692.0</f>
        <v>692.0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46</v>
      </c>
      <c r="F56" s="4" t="s">
        <v>47</v>
      </c>
      <c r="G56" s="4" t="s">
        <v>48</v>
      </c>
      <c r="H56" s="5" t="n">
        <f>400.0</f>
        <v>400.0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55</v>
      </c>
      <c r="F57" s="4" t="s">
        <v>56</v>
      </c>
      <c r="G57" s="4" t="s">
        <v>57</v>
      </c>
      <c r="H57" s="5" t="n">
        <f>265.0</f>
        <v>265.0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43</v>
      </c>
      <c r="F58" s="4" t="s">
        <v>44</v>
      </c>
      <c r="G58" s="4" t="s">
        <v>45</v>
      </c>
      <c r="H58" s="5" t="n">
        <f>224.0</f>
        <v>224.0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67</v>
      </c>
      <c r="F59" s="4" t="s">
        <v>68</v>
      </c>
      <c r="G59" s="4" t="s">
        <v>69</v>
      </c>
      <c r="H59" s="5" t="n">
        <f>27.0</f>
        <v>27.0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40</v>
      </c>
      <c r="F60" s="4" t="s">
        <v>41</v>
      </c>
      <c r="G60" s="4" t="s">
        <v>42</v>
      </c>
      <c r="H60" s="5" t="n">
        <f>24.0</f>
        <v>24.0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13</v>
      </c>
      <c r="F61" s="4" t="s">
        <v>14</v>
      </c>
      <c r="G61" s="4" t="s">
        <v>15</v>
      </c>
      <c r="H61" s="5" t="n">
        <f>14.0</f>
        <v>14.0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61</v>
      </c>
      <c r="F62" s="4" t="s">
        <v>62</v>
      </c>
      <c r="G62" s="4" t="s">
        <v>63</v>
      </c>
      <c r="H62" s="5" t="n">
        <f>2.0</f>
        <v>2.0</v>
      </c>
    </row>
    <row r="63">
      <c r="A63" s="3" t="s">
        <v>82</v>
      </c>
      <c r="B63" s="4" t="s">
        <v>85</v>
      </c>
      <c r="C63" s="4" t="s">
        <v>86</v>
      </c>
      <c r="D63" s="3" t="n">
        <v>1.0</v>
      </c>
      <c r="E63" s="4" t="s">
        <v>31</v>
      </c>
      <c r="F63" s="4" t="s">
        <v>32</v>
      </c>
      <c r="G63" s="4" t="s">
        <v>33</v>
      </c>
      <c r="H63" s="5" t="n">
        <f>100.0</f>
        <v>100.0</v>
      </c>
    </row>
    <row r="64">
      <c r="A64" s="3" t="s">
        <v>82</v>
      </c>
      <c r="B64" s="4" t="s">
        <v>85</v>
      </c>
      <c r="C64" s="4" t="s">
        <v>86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100.0</f>
        <v>100.0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150.0</f>
        <v>150.0</v>
      </c>
    </row>
    <row r="66">
      <c r="A66" s="3" t="s">
        <v>87</v>
      </c>
      <c r="B66" s="4" t="s">
        <v>88</v>
      </c>
      <c r="C66" s="4" t="s">
        <v>89</v>
      </c>
      <c r="D66" s="3" t="n">
        <v>1.0</v>
      </c>
      <c r="E66" s="4" t="s">
        <v>67</v>
      </c>
      <c r="F66" s="4" t="s">
        <v>68</v>
      </c>
      <c r="G66" s="4" t="s">
        <v>69</v>
      </c>
      <c r="H66" s="5" t="n">
        <f>150.0</f>
        <v>150.0</v>
      </c>
    </row>
    <row r="67">
      <c r="A67" s="3" t="s">
        <v>87</v>
      </c>
      <c r="B67" s="4" t="s">
        <v>88</v>
      </c>
      <c r="C67" s="4" t="s">
        <v>89</v>
      </c>
      <c r="D67" s="3" t="n">
        <v>3.0</v>
      </c>
      <c r="E67" s="4" t="s">
        <v>49</v>
      </c>
      <c r="F67" s="4" t="s">
        <v>50</v>
      </c>
      <c r="G67" s="4" t="s">
        <v>51</v>
      </c>
      <c r="H67" s="5" t="n">
        <f>8.0</f>
        <v>8.0</v>
      </c>
    </row>
    <row r="68">
      <c r="A68" s="3" t="s">
        <v>87</v>
      </c>
      <c r="B68" s="4" t="s">
        <v>90</v>
      </c>
      <c r="C68" s="4" t="s">
        <v>91</v>
      </c>
      <c r="D68" s="3" t="n">
        <v>1.0</v>
      </c>
      <c r="E68" s="4" t="s">
        <v>40</v>
      </c>
      <c r="F68" s="4" t="s">
        <v>41</v>
      </c>
      <c r="G68" s="4" t="s">
        <v>42</v>
      </c>
      <c r="H68" s="5" t="n">
        <f>2.0</f>
        <v>2.0</v>
      </c>
    </row>
    <row r="69">
      <c r="A69" s="3" t="s">
        <v>87</v>
      </c>
      <c r="B69" s="4" t="s">
        <v>92</v>
      </c>
      <c r="C69" s="4" t="s">
        <v>93</v>
      </c>
      <c r="D69" s="3" t="n">
        <v>1.0</v>
      </c>
      <c r="E69" s="4" t="s">
        <v>40</v>
      </c>
      <c r="F69" s="4" t="s">
        <v>41</v>
      </c>
      <c r="G69" s="4" t="s">
        <v>42</v>
      </c>
      <c r="H69" s="5" t="n">
        <f>2.0</f>
        <v>2.0</v>
      </c>
    </row>
    <row r="70">
      <c r="A70" s="3" t="s">
        <v>87</v>
      </c>
      <c r="B70" s="4" t="s">
        <v>94</v>
      </c>
      <c r="C70" s="4" t="s">
        <v>95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152.0</f>
        <v>152.0</v>
      </c>
    </row>
    <row r="71">
      <c r="A71" s="3" t="s">
        <v>87</v>
      </c>
      <c r="B71" s="4" t="s">
        <v>94</v>
      </c>
      <c r="C71" s="4" t="s">
        <v>95</v>
      </c>
      <c r="D71" s="3" t="n">
        <v>2.0</v>
      </c>
      <c r="E71" s="4" t="s">
        <v>67</v>
      </c>
      <c r="F71" s="4" t="s">
        <v>68</v>
      </c>
      <c r="G71" s="4" t="s">
        <v>69</v>
      </c>
      <c r="H71" s="5" t="n">
        <f>150.0</f>
        <v>150.0</v>
      </c>
    </row>
    <row r="72">
      <c r="A72" s="3" t="s">
        <v>87</v>
      </c>
      <c r="B72" s="4" t="s">
        <v>96</v>
      </c>
      <c r="C72" s="4" t="s">
        <v>97</v>
      </c>
      <c r="D72" s="3" t="n">
        <v>1.0</v>
      </c>
      <c r="E72" s="4" t="s">
        <v>49</v>
      </c>
      <c r="F72" s="4" t="s">
        <v>50</v>
      </c>
      <c r="G72" s="4" t="s">
        <v>51</v>
      </c>
      <c r="H72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