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<sst xmlns="http://schemas.openxmlformats.org/spreadsheetml/2006/main" count="442" uniqueCount="104">
  <si>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</si>
  <si>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</si>
  <si>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</si>
  <si>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</si>
  <si>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</si>
  <si>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</si>
  <si>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</si>
  <si>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</si>
  <si>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</si>
  <si>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20251023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</si>
  <si>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</si>
  <si>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</si>
  <si>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</si>
  <si>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</si>
  <si>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</si>
  <si>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</si>
  <si>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</si>
  <si>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</si>
  <si>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</si>
  <si>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</si>
  <si>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</si>
  <si>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</si>
  <si>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</si>
  <si>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</si>
  <si>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</si>
  <si>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</si>
  <si>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</si>
  <si>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</si>
  <si>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</si>
  <si>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</si>
  <si>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</si>
  <si>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</si>
  <si>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</si>
  <si>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</si>
  <si>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</si>
  <si>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</si>
  <si>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</si>
  <si>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</si>
  <si>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</si>
  <si>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</si>
  <si>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</si>
  <si>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</si>
  <si>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</si>
  <si>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</si>
  <si>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</si>
  <si>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</si>
  <si>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</si>
  <si>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</si>
  <si>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</si>
  <si>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</si>
  <si>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</si>
  <si>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</si>
  <si>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</si>
  <si>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</si>
  <si>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</si>
  <si>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</si>
  <si>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</si>
  <si>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</si>
  <si>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</si>
  <si>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</si>
  <si>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</si>
  <si>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</si>
  <si>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</si>
  <si>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</si>
  <si>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12336</t>
  </si>
  <si>
    <t>日産証券</t>
  </si>
  <si>
    <t>Nissan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</si>
  <si>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</si>
  <si>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</si>
  <si>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</si>
  <si>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</si>
  <si>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</si>
  <si>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</si>
  <si>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</si>
  <si>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</si>
  <si>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</si>
  <si>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</si>
  <si>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</si>
  <si>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</si>
  <si>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</si>
  <si>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</si>
  <si>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</si>
  <si>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</si>
  <si>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</si>
  <si>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</si>
  <si>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</si>
  <si>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130237718</t>
  </si>
  <si>
    <t>NIKKEI 225 OOP P2511-47750</t>
  </si>
  <si>
    <t>130238018</t>
  </si>
  <si>
    <t>NIKKEI 225 OOP P2511-48000</t>
  </si>
  <si>
    <t>130238718</t>
  </si>
  <si>
    <t>NIKKEI 225 OOP P2511-48750</t>
  </si>
  <si>
    <t>140239518</t>
  </si>
  <si>
    <t>NIKKEI 225 OOP C2511-49500</t>
  </si>
  <si>
    <t>140239218</t>
  </si>
  <si>
    <t>NIKKEI 225 OOP C2511-49250</t>
  </si>
  <si>
    <t>140239018</t>
  </si>
  <si>
    <t>NIKKEI 225 OOP C2511-49000</t>
  </si>
  <si>
    <t>140118618</t>
  </si>
  <si>
    <t>NIKKEI 225 OOP C2511-48625</t>
  </si>
  <si>
    <t>140238518</t>
  </si>
  <si>
    <t>NIKKEI 225 OOP C2511-48500</t>
  </si>
  <si>
    <t>140118318</t>
  </si>
  <si>
    <t>NIKKEI 225 OOP C2511-48375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</si>
</sst>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1691.0</f>
        <v>1691.0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1477.0</f>
        <v>1477.0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1362.0</f>
        <v>1362.0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1132.0</f>
        <v>1132.0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1106.0</f>
        <v>1106.0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996.0</f>
        <v>996.0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958.0</f>
        <v>958.0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716.0</f>
        <v>716.0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548.0</f>
        <v>548.0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441.0</f>
        <v>441.0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412.0</f>
        <v>412.0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369.0</f>
        <v>369.0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301.0</f>
        <v>301.0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257.0</f>
        <v>257.0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178.0</f>
        <v>178.0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167.0</f>
        <v>167.0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123.0</f>
        <v>123.0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110.0</f>
        <v>110.0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73.0</f>
        <v>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60.0</f>
        <v>60.0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46</v>
      </c>
      <c r="F31" s="4" t="s">
        <v>47</v>
      </c>
      <c r="G31" s="4" t="s">
        <v>48</v>
      </c>
      <c r="H31" s="5" t="n">
        <f>250.0</f>
        <v>250.0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150.0</f>
        <v>150.0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13</v>
      </c>
      <c r="F35" s="4" t="s">
        <v>14</v>
      </c>
      <c r="G35" s="4" t="s">
        <v>15</v>
      </c>
      <c r="H35" s="5" t="n">
        <f>50.0</f>
        <v>50.0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4.0</f>
        <v>4.0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43</v>
      </c>
      <c r="F38" s="4" t="s">
        <v>44</v>
      </c>
      <c r="G38" s="4" t="s">
        <v>45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55</v>
      </c>
      <c r="F39" s="4" t="s">
        <v>56</v>
      </c>
      <c r="G39" s="4" t="s">
        <v>57</v>
      </c>
      <c r="H39" s="5" t="n">
        <f>1776.0</f>
        <v>1776.0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22</v>
      </c>
      <c r="F40" s="4" t="s">
        <v>23</v>
      </c>
      <c r="G40" s="4" t="s">
        <v>24</v>
      </c>
      <c r="H40" s="5" t="n">
        <f>1750.0</f>
        <v>1750.0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37</v>
      </c>
      <c r="F42" s="4" t="s">
        <v>38</v>
      </c>
      <c r="G42" s="4" t="s">
        <v>39</v>
      </c>
      <c r="H42" s="5" t="n">
        <f>1000.0</f>
        <v>1000.0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70</v>
      </c>
      <c r="F43" s="4" t="s">
        <v>71</v>
      </c>
      <c r="G43" s="4" t="s">
        <v>72</v>
      </c>
      <c r="H43" s="5" t="n">
        <f>136.0</f>
        <v>136.0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34488.0</f>
        <v>34488.0</v>
      </c>
    </row>
    <row r="45">
      <c r="A45" s="3" t="s">
        <v>75</v>
      </c>
      <c r="B45" s="4" t="s">
        <v>78</v>
      </c>
      <c r="C45" s="4" t="s">
        <v>79</v>
      </c>
      <c r="D45" s="3" t="n">
        <v>2.0</v>
      </c>
      <c r="E45" s="4" t="s">
        <v>55</v>
      </c>
      <c r="F45" s="4" t="s">
        <v>56</v>
      </c>
      <c r="G45" s="4" t="s">
        <v>57</v>
      </c>
      <c r="H45" s="5" t="n">
        <f>19996.0</f>
        <v>19996.0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70</v>
      </c>
      <c r="F46" s="4" t="s">
        <v>71</v>
      </c>
      <c r="G46" s="4" t="s">
        <v>72</v>
      </c>
      <c r="H46" s="5" t="n">
        <f>5410.0</f>
        <v>5410.0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19</v>
      </c>
      <c r="F47" s="4" t="s">
        <v>20</v>
      </c>
      <c r="G47" s="4" t="s">
        <v>21</v>
      </c>
      <c r="H47" s="5" t="n">
        <f>204.0</f>
        <v>204.0</v>
      </c>
    </row>
    <row r="48">
      <c r="A48" s="3" t="s">
        <v>75</v>
      </c>
      <c r="B48" s="4" t="s">
        <v>78</v>
      </c>
      <c r="C48" s="4" t="s">
        <v>79</v>
      </c>
      <c r="D48" s="3" t="n">
        <v>5.0</v>
      </c>
      <c r="E48" s="4" t="s">
        <v>25</v>
      </c>
      <c r="F48" s="4" t="s">
        <v>26</v>
      </c>
      <c r="G48" s="4" t="s">
        <v>27</v>
      </c>
      <c r="H48" s="5" t="n">
        <f>108.0</f>
        <v>108.0</v>
      </c>
    </row>
    <row r="49">
      <c r="A49" s="3" t="s">
        <v>75</v>
      </c>
      <c r="B49" s="4" t="s">
        <v>78</v>
      </c>
      <c r="C49" s="4" t="s">
        <v>79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20.0</f>
        <v>20.0</v>
      </c>
    </row>
    <row r="50">
      <c r="A50" s="3" t="s">
        <v>75</v>
      </c>
      <c r="B50" s="4" t="s">
        <v>78</v>
      </c>
      <c r="C50" s="4" t="s">
        <v>79</v>
      </c>
      <c r="D50" s="3" t="n">
        <v>7.0</v>
      </c>
      <c r="E50" s="4" t="s">
        <v>61</v>
      </c>
      <c r="F50" s="4" t="s">
        <v>62</v>
      </c>
      <c r="G50" s="4" t="s">
        <v>63</v>
      </c>
      <c r="H50" s="5" t="n">
        <f>2.0</f>
        <v>2.0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22</v>
      </c>
      <c r="F51" s="4" t="s">
        <v>23</v>
      </c>
      <c r="G51" s="4" t="s">
        <v>24</v>
      </c>
      <c r="H51" s="5" t="n">
        <f>40.0</f>
        <v>40.0</v>
      </c>
    </row>
    <row r="52">
      <c r="A52" s="3" t="s">
        <v>75</v>
      </c>
      <c r="B52" s="4" t="s">
        <v>80</v>
      </c>
      <c r="C52" s="4" t="s">
        <v>81</v>
      </c>
      <c r="D52" s="3" t="n">
        <v>2.0</v>
      </c>
      <c r="E52" s="4" t="s">
        <v>55</v>
      </c>
      <c r="F52" s="4" t="s">
        <v>56</v>
      </c>
      <c r="G52" s="4" t="s">
        <v>57</v>
      </c>
      <c r="H52" s="5" t="n">
        <f>24.0</f>
        <v>24.0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70</v>
      </c>
      <c r="F53" s="4" t="s">
        <v>71</v>
      </c>
      <c r="G53" s="4" t="s">
        <v>72</v>
      </c>
      <c r="H53" s="5" t="n">
        <f>2.0</f>
        <v>2.0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61</v>
      </c>
      <c r="F54" s="4" t="s">
        <v>62</v>
      </c>
      <c r="G54" s="4" t="s">
        <v>63</v>
      </c>
      <c r="H54" s="5" t="n">
        <f>4378.0</f>
        <v>4378.0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25</v>
      </c>
      <c r="F55" s="4" t="s">
        <v>26</v>
      </c>
      <c r="G55" s="4" t="s">
        <v>27</v>
      </c>
      <c r="H55" s="5" t="n">
        <f>1973.0</f>
        <v>1973.0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13</v>
      </c>
      <c r="F56" s="4" t="s">
        <v>14</v>
      </c>
      <c r="G56" s="4" t="s">
        <v>15</v>
      </c>
      <c r="H56" s="5" t="n">
        <f>810.0</f>
        <v>810.0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40</v>
      </c>
      <c r="F57" s="4" t="s">
        <v>41</v>
      </c>
      <c r="G57" s="4" t="s">
        <v>42</v>
      </c>
      <c r="H57" s="5" t="n">
        <f>789.0</f>
        <v>789.0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19</v>
      </c>
      <c r="F58" s="4" t="s">
        <v>20</v>
      </c>
      <c r="G58" s="4" t="s">
        <v>21</v>
      </c>
      <c r="H58" s="5" t="n">
        <f>726.0</f>
        <v>726.0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37</v>
      </c>
      <c r="F59" s="4" t="s">
        <v>38</v>
      </c>
      <c r="G59" s="4" t="s">
        <v>39</v>
      </c>
      <c r="H59" s="5" t="n">
        <f>585.0</f>
        <v>585.0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31</v>
      </c>
      <c r="F60" s="4" t="s">
        <v>32</v>
      </c>
      <c r="G60" s="4" t="s">
        <v>33</v>
      </c>
      <c r="H60" s="5" t="n">
        <f>204.0</f>
        <v>204.0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46</v>
      </c>
      <c r="F61" s="4" t="s">
        <v>47</v>
      </c>
      <c r="G61" s="4" t="s">
        <v>48</v>
      </c>
      <c r="H61" s="5" t="n">
        <f>126.0</f>
        <v>126.0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58</v>
      </c>
      <c r="F62" s="4" t="s">
        <v>59</v>
      </c>
      <c r="G62" s="4" t="s">
        <v>60</v>
      </c>
      <c r="H62" s="5" t="n">
        <f>121.0</f>
        <v>121.0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52</v>
      </c>
      <c r="F63" s="4" t="s">
        <v>53</v>
      </c>
      <c r="G63" s="4" t="s">
        <v>54</v>
      </c>
      <c r="H63" s="5" t="n">
        <f>70.0</f>
        <v>70.0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28</v>
      </c>
      <c r="F64" s="4" t="s">
        <v>29</v>
      </c>
      <c r="G64" s="4" t="s">
        <v>30</v>
      </c>
      <c r="H64" s="5" t="n">
        <f>60.0</f>
        <v>60.0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22</v>
      </c>
      <c r="F65" s="4" t="s">
        <v>23</v>
      </c>
      <c r="G65" s="4" t="s">
        <v>24</v>
      </c>
      <c r="H65" s="5" t="n">
        <f>46.0</f>
        <v>46.0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16</v>
      </c>
      <c r="F66" s="4" t="s">
        <v>17</v>
      </c>
      <c r="G66" s="4" t="s">
        <v>18</v>
      </c>
      <c r="H66" s="5" t="n">
        <f>10.0</f>
        <v>10.0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49</v>
      </c>
      <c r="F67" s="4" t="s">
        <v>50</v>
      </c>
      <c r="G67" s="4" t="s">
        <v>51</v>
      </c>
      <c r="H67" s="5" t="n">
        <f>8.0</f>
        <v>8.0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70</v>
      </c>
      <c r="F68" s="4" t="s">
        <v>71</v>
      </c>
      <c r="G68" s="4" t="s">
        <v>72</v>
      </c>
      <c r="H68" s="5" t="n">
        <f>6.0</f>
        <v>6.0</v>
      </c>
    </row>
    <row r="69">
      <c r="A69" s="3" t="s">
        <v>82</v>
      </c>
      <c r="B69" s="4" t="s">
        <v>83</v>
      </c>
      <c r="C69" s="4" t="s">
        <v>84</v>
      </c>
      <c r="D69" s="3" t="n">
        <v>15.0</v>
      </c>
      <c r="E69" s="4" t="s">
        <v>43</v>
      </c>
      <c r="F69" s="4" t="s">
        <v>44</v>
      </c>
      <c r="G69" s="4" t="s">
        <v>45</v>
      </c>
      <c r="H69" s="5" t="n">
        <f>6.0</f>
        <v>6.0</v>
      </c>
    </row>
    <row r="70">
      <c r="A70" s="3" t="s">
        <v>85</v>
      </c>
      <c r="B70" s="4" t="s">
        <v>86</v>
      </c>
      <c r="C70" s="4" t="s">
        <v>87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6.0</f>
        <v>6.0</v>
      </c>
    </row>
    <row r="72">
      <c r="A72" s="3" t="s">
        <v>85</v>
      </c>
      <c r="B72" s="4" t="s">
        <v>90</v>
      </c>
      <c r="C72" s="4" t="s">
        <v>91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2.0</f>
        <v>2.0</v>
      </c>
    </row>
    <row r="73">
      <c r="A73" s="3" t="s">
        <v>85</v>
      </c>
      <c r="B73" s="4" t="s">
        <v>92</v>
      </c>
      <c r="C73" s="4" t="s">
        <v>93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4.0</f>
        <v>4.0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22</v>
      </c>
      <c r="F74" s="4" t="s">
        <v>23</v>
      </c>
      <c r="G74" s="4" t="s">
        <v>24</v>
      </c>
      <c r="H74" s="5" t="n">
        <f>4.0</f>
        <v>4.0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100.0</f>
        <v>100.0</v>
      </c>
    </row>
    <row r="76">
      <c r="A76" s="3" t="s">
        <v>85</v>
      </c>
      <c r="B76" s="4" t="s">
        <v>96</v>
      </c>
      <c r="C76" s="4" t="s">
        <v>97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100.0</f>
        <v>100.0</v>
      </c>
    </row>
    <row r="77">
      <c r="A77" s="3" t="s">
        <v>85</v>
      </c>
      <c r="B77" s="4" t="s">
        <v>96</v>
      </c>
      <c r="C77" s="4" t="s">
        <v>97</v>
      </c>
      <c r="D77" s="3" t="n">
        <v>3.0</v>
      </c>
      <c r="E77" s="4" t="s">
        <v>22</v>
      </c>
      <c r="F77" s="4" t="s">
        <v>23</v>
      </c>
      <c r="G77" s="4" t="s">
        <v>24</v>
      </c>
      <c r="H77" s="5" t="n">
        <f>4.0</f>
        <v>4.0</v>
      </c>
    </row>
    <row r="78">
      <c r="A78" s="3" t="s">
        <v>85</v>
      </c>
      <c r="B78" s="4" t="s">
        <v>98</v>
      </c>
      <c r="C78" s="4" t="s">
        <v>99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6.0</f>
        <v>6.0</v>
      </c>
    </row>
    <row r="79">
      <c r="A79" s="3" t="s">
        <v>85</v>
      </c>
      <c r="B79" s="4" t="s">
        <v>100</v>
      </c>
      <c r="C79" s="4" t="s">
        <v>101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10.0</f>
        <v>10.0</v>
      </c>
    </row>
    <row r="80">
      <c r="A80" s="3" t="s">
        <v>85</v>
      </c>
      <c r="B80" s="4" t="s">
        <v>102</v>
      </c>
      <c r="C80" s="4" t="s">
        <v>103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