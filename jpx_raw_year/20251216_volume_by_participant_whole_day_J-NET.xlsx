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<sst xmlns="http://schemas.openxmlformats.org/spreadsheetml/2006/main" count="424" uniqueCount="103">
  <si>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</si>
  <si>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</si>
  <si>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</si>
  <si>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</si>
  <si>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</si>
  <si>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</si>
  <si>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</si>
  <si>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</si>
  <si>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</si>
  <si>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20251216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</si>
  <si>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</si>
  <si>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</si>
  <si>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</si>
  <si>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</si>
  <si>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</si>
  <si>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</si>
  <si>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</si>
  <si>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</si>
  <si>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</si>
  <si>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</si>
  <si>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</si>
  <si>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</si>
  <si>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</si>
  <si>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</si>
  <si>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</si>
  <si>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</si>
  <si>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</si>
  <si>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</si>
  <si>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</si>
  <si>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</si>
  <si>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</si>
  <si>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</si>
  <si>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</si>
  <si>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</si>
  <si>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</si>
  <si>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</si>
  <si>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</si>
  <si>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12000</t>
  </si>
  <si>
    <t>大和証券</t>
  </si>
  <si>
    <t>Daiwa Securities</t>
  </si>
  <si>
    <t>11840</t>
  </si>
  <si>
    <t>立花証券</t>
  </si>
  <si>
    <t>THE TACHIBANA SECURITIES</t>
  </si>
  <si>
    <t>12336</t>
  </si>
  <si>
    <t>日産証券</t>
  </si>
  <si>
    <t>Nissan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</si>
  <si>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</si>
  <si>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</si>
  <si>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</si>
  <si>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</si>
  <si>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</si>
  <si>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</si>
  <si>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</si>
  <si>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</si>
  <si>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</si>
  <si>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</si>
  <si>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</si>
  <si>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</si>
  <si>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</si>
  <si>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</si>
  <si>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</si>
  <si>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</si>
  <si>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</si>
  <si>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</si>
  <si>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</si>
  <si>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</si>
  <si>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</si>
  <si>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</si>
  <si>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</si>
  <si>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</si>
  <si>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</si>
  <si>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</si>
  <si>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</si>
  <si>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</si>
  <si>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</si>
  <si>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</si>
  <si>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</si>
  <si>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</si>
  <si>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</si>
  <si>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</si>
  <si>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</si>
  <si>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</si>
  <si>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</si>
  <si>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</si>
  <si>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</si>
  <si>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12428</t>
  </si>
  <si>
    <t>ＢＮＰパリバ証券</t>
  </si>
  <si>
    <t>BNP Paribas Securities(Japan)Limited</t>
  </si>
  <si>
    <t>NK225E</t>
  </si>
  <si>
    <t>131138518</t>
  </si>
  <si>
    <t>NIKKEI 225 OOP P2601-48500</t>
  </si>
  <si>
    <t>131139018</t>
  </si>
  <si>
    <t>NIKKEI 225 OOP P2601-49000</t>
  </si>
  <si>
    <t>131139518</t>
  </si>
  <si>
    <t>NIKKEI 225 OOP P2601-49500</t>
  </si>
  <si>
    <t>141130218</t>
  </si>
  <si>
    <t>NIKKEI 225 OOP C2601-50250</t>
  </si>
  <si>
    <t>141130018</t>
  </si>
  <si>
    <t>NIKKEI 225 OOP C2601-50000</t>
  </si>
  <si>
    <t>141139718</t>
  </si>
  <si>
    <t>NIKKEI 225 OOP C2601-49750</t>
  </si>
  <si>
    <t>141139518</t>
  </si>
  <si>
    <t>NIKKEI 225 OOP C2601-49500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</si>
</sst>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1707.0</f>
        <v>1707.0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1560.0</f>
        <v>1560.0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1432.0</f>
        <v>1432.0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1277.0</f>
        <v>1277.0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885.0</f>
        <v>885.0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386.0</f>
        <v>386.0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349.0</f>
        <v>349.0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260.0</f>
        <v>260.0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194.0</f>
        <v>194.0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160.0</f>
        <v>160.0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147.0</f>
        <v>147.0</v>
      </c>
    </row>
    <row r="20">
      <c r="A20" s="3" t="s">
        <v>10</v>
      </c>
      <c r="B20" s="4" t="s">
        <v>11</v>
      </c>
      <c r="C20" s="4" t="s">
        <v>12</v>
      </c>
      <c r="D20" s="3" t="n">
        <v>11.0</v>
      </c>
      <c r="E20" s="4" t="s">
        <v>46</v>
      </c>
      <c r="F20" s="4" t="s">
        <v>47</v>
      </c>
      <c r="G20" s="4" t="s">
        <v>48</v>
      </c>
      <c r="H20" s="5" t="n">
        <f>147.0</f>
        <v>147.0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110.0</f>
        <v>110.0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103.0</f>
        <v>103.0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65.0</f>
        <v>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62.0</f>
        <v>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54.0</f>
        <v>54.0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50.0</f>
        <v>50.0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17.0</f>
        <v>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10.0</f>
        <v>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250.0</f>
        <v>250.0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50.0</f>
        <v>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25</v>
      </c>
      <c r="F34" s="4" t="s">
        <v>26</v>
      </c>
      <c r="G34" s="4" t="s">
        <v>27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61</v>
      </c>
      <c r="F35" s="4" t="s">
        <v>62</v>
      </c>
      <c r="G35" s="4" t="s">
        <v>63</v>
      </c>
      <c r="H35" s="5" t="n">
        <f>2.0</f>
        <v>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25</v>
      </c>
      <c r="F36" s="4" t="s">
        <v>26</v>
      </c>
      <c r="G36" s="4" t="s">
        <v>27</v>
      </c>
      <c r="H36" s="5" t="n">
        <f>4600.0</f>
        <v>4600.0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34</v>
      </c>
      <c r="F37" s="4" t="s">
        <v>35</v>
      </c>
      <c r="G37" s="4" t="s">
        <v>36</v>
      </c>
      <c r="H37" s="5" t="n">
        <f>3320.0</f>
        <v>3320.0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49</v>
      </c>
      <c r="F38" s="4" t="s">
        <v>50</v>
      </c>
      <c r="G38" s="4" t="s">
        <v>51</v>
      </c>
      <c r="H38" s="5" t="n">
        <f>220.0</f>
        <v>220.0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34</v>
      </c>
      <c r="F39" s="4" t="s">
        <v>35</v>
      </c>
      <c r="G39" s="4" t="s">
        <v>36</v>
      </c>
      <c r="H39" s="5" t="n">
        <f>94.0</f>
        <v>94.0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25</v>
      </c>
      <c r="F40" s="4" t="s">
        <v>26</v>
      </c>
      <c r="G40" s="4" t="s">
        <v>27</v>
      </c>
      <c r="H40" s="5" t="n">
        <f>44.0</f>
        <v>44.0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49</v>
      </c>
      <c r="F41" s="4" t="s">
        <v>50</v>
      </c>
      <c r="G41" s="4" t="s">
        <v>51</v>
      </c>
      <c r="H41" s="5" t="n">
        <f>8.0</f>
        <v>8.0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25</v>
      </c>
      <c r="F42" s="4" t="s">
        <v>26</v>
      </c>
      <c r="G42" s="4" t="s">
        <v>27</v>
      </c>
      <c r="H42" s="5" t="n">
        <f>39752.0</f>
        <v>39752.0</v>
      </c>
    </row>
    <row r="43">
      <c r="A43" s="3" t="s">
        <v>75</v>
      </c>
      <c r="B43" s="4" t="s">
        <v>80</v>
      </c>
      <c r="C43" s="4" t="s">
        <v>81</v>
      </c>
      <c r="D43" s="3" t="n">
        <v>2.0</v>
      </c>
      <c r="E43" s="4" t="s">
        <v>34</v>
      </c>
      <c r="F43" s="4" t="s">
        <v>35</v>
      </c>
      <c r="G43" s="4" t="s">
        <v>36</v>
      </c>
      <c r="H43" s="5" t="n">
        <f>21774.0</f>
        <v>21774.0</v>
      </c>
    </row>
    <row r="44">
      <c r="A44" s="3" t="s">
        <v>75</v>
      </c>
      <c r="B44" s="4" t="s">
        <v>80</v>
      </c>
      <c r="C44" s="4" t="s">
        <v>81</v>
      </c>
      <c r="D44" s="3" t="n">
        <v>3.0</v>
      </c>
      <c r="E44" s="4" t="s">
        <v>49</v>
      </c>
      <c r="F44" s="4" t="s">
        <v>50</v>
      </c>
      <c r="G44" s="4" t="s">
        <v>51</v>
      </c>
      <c r="H44" s="5" t="n">
        <f>5538.0</f>
        <v>5538.0</v>
      </c>
    </row>
    <row r="45">
      <c r="A45" s="3" t="s">
        <v>75</v>
      </c>
      <c r="B45" s="4" t="s">
        <v>80</v>
      </c>
      <c r="C45" s="4" t="s">
        <v>81</v>
      </c>
      <c r="D45" s="3" t="n">
        <v>4.0</v>
      </c>
      <c r="E45" s="4" t="s">
        <v>13</v>
      </c>
      <c r="F45" s="4" t="s">
        <v>14</v>
      </c>
      <c r="G45" s="4" t="s">
        <v>15</v>
      </c>
      <c r="H45" s="5" t="n">
        <f>288.0</f>
        <v>288.0</v>
      </c>
    </row>
    <row r="46">
      <c r="A46" s="3" t="s">
        <v>75</v>
      </c>
      <c r="B46" s="4" t="s">
        <v>80</v>
      </c>
      <c r="C46" s="4" t="s">
        <v>81</v>
      </c>
      <c r="D46" s="3" t="n">
        <v>5.0</v>
      </c>
      <c r="E46" s="4" t="s">
        <v>22</v>
      </c>
      <c r="F46" s="4" t="s">
        <v>23</v>
      </c>
      <c r="G46" s="4" t="s">
        <v>24</v>
      </c>
      <c r="H46" s="5" t="n">
        <f>16.0</f>
        <v>16.0</v>
      </c>
    </row>
    <row r="47">
      <c r="A47" s="3" t="s">
        <v>75</v>
      </c>
      <c r="B47" s="4" t="s">
        <v>80</v>
      </c>
      <c r="C47" s="4" t="s">
        <v>81</v>
      </c>
      <c r="D47" s="3" t="n">
        <v>6.0</v>
      </c>
      <c r="E47" s="4" t="s">
        <v>19</v>
      </c>
      <c r="F47" s="4" t="s">
        <v>20</v>
      </c>
      <c r="G47" s="4" t="s">
        <v>21</v>
      </c>
      <c r="H47" s="5" t="n">
        <f>15.0</f>
        <v>15.0</v>
      </c>
    </row>
    <row r="48">
      <c r="A48" s="3" t="s">
        <v>75</v>
      </c>
      <c r="B48" s="4" t="s">
        <v>80</v>
      </c>
      <c r="C48" s="4" t="s">
        <v>81</v>
      </c>
      <c r="D48" s="3" t="n">
        <v>6.0</v>
      </c>
      <c r="E48" s="4" t="s">
        <v>58</v>
      </c>
      <c r="F48" s="4" t="s">
        <v>59</v>
      </c>
      <c r="G48" s="4" t="s">
        <v>60</v>
      </c>
      <c r="H48" s="5" t="n">
        <f>15.0</f>
        <v>15.0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31</v>
      </c>
      <c r="F49" s="4" t="s">
        <v>32</v>
      </c>
      <c r="G49" s="4" t="s">
        <v>33</v>
      </c>
      <c r="H49" s="5" t="n">
        <f>2924.0</f>
        <v>2924.0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22</v>
      </c>
      <c r="F50" s="4" t="s">
        <v>23</v>
      </c>
      <c r="G50" s="4" t="s">
        <v>24</v>
      </c>
      <c r="H50" s="5" t="n">
        <f>2486.0</f>
        <v>2486.0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64</v>
      </c>
      <c r="F51" s="4" t="s">
        <v>65</v>
      </c>
      <c r="G51" s="4" t="s">
        <v>66</v>
      </c>
      <c r="H51" s="5" t="n">
        <f>1900.0</f>
        <v>1900.0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85</v>
      </c>
      <c r="F52" s="4" t="s">
        <v>86</v>
      </c>
      <c r="G52" s="4" t="s">
        <v>87</v>
      </c>
      <c r="H52" s="5" t="n">
        <f>1490.0</f>
        <v>1490.0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61</v>
      </c>
      <c r="F53" s="4" t="s">
        <v>62</v>
      </c>
      <c r="G53" s="4" t="s">
        <v>63</v>
      </c>
      <c r="H53" s="5" t="n">
        <f>648.0</f>
        <v>648.0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58</v>
      </c>
      <c r="F54" s="4" t="s">
        <v>59</v>
      </c>
      <c r="G54" s="4" t="s">
        <v>60</v>
      </c>
      <c r="H54" s="5" t="n">
        <f>540.0</f>
        <v>540.0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16</v>
      </c>
      <c r="F55" s="4" t="s">
        <v>17</v>
      </c>
      <c r="G55" s="4" t="s">
        <v>18</v>
      </c>
      <c r="H55" s="5" t="n">
        <f>281.0</f>
        <v>281.0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13</v>
      </c>
      <c r="F56" s="4" t="s">
        <v>14</v>
      </c>
      <c r="G56" s="4" t="s">
        <v>15</v>
      </c>
      <c r="H56" s="5" t="n">
        <f>234.0</f>
        <v>234.0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25</v>
      </c>
      <c r="F57" s="4" t="s">
        <v>26</v>
      </c>
      <c r="G57" s="4" t="s">
        <v>27</v>
      </c>
      <c r="H57" s="5" t="n">
        <f>146.0</f>
        <v>146.0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67</v>
      </c>
      <c r="F58" s="4" t="s">
        <v>68</v>
      </c>
      <c r="G58" s="4" t="s">
        <v>69</v>
      </c>
      <c r="H58" s="5" t="n">
        <f>114.0</f>
        <v>114.0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37</v>
      </c>
      <c r="F59" s="4" t="s">
        <v>38</v>
      </c>
      <c r="G59" s="4" t="s">
        <v>39</v>
      </c>
      <c r="H59" s="5" t="n">
        <f>75.0</f>
        <v>75.0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52</v>
      </c>
      <c r="F60" s="4" t="s">
        <v>53</v>
      </c>
      <c r="G60" s="4" t="s">
        <v>54</v>
      </c>
      <c r="H60" s="5" t="n">
        <f>64.0</f>
        <v>64.0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49</v>
      </c>
      <c r="F61" s="4" t="s">
        <v>50</v>
      </c>
      <c r="G61" s="4" t="s">
        <v>51</v>
      </c>
      <c r="H61" s="5" t="n">
        <f>16.0</f>
        <v>16.0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46</v>
      </c>
      <c r="F62" s="4" t="s">
        <v>47</v>
      </c>
      <c r="G62" s="4" t="s">
        <v>48</v>
      </c>
      <c r="H62" s="5" t="n">
        <f>2.0</f>
        <v>2.0</v>
      </c>
    </row>
    <row r="63">
      <c r="A63" s="3" t="s">
        <v>88</v>
      </c>
      <c r="B63" s="4" t="s">
        <v>89</v>
      </c>
      <c r="C63" s="4" t="s">
        <v>90</v>
      </c>
      <c r="D63" s="3" t="n">
        <v>1.0</v>
      </c>
      <c r="E63" s="4" t="s">
        <v>28</v>
      </c>
      <c r="F63" s="4" t="s">
        <v>29</v>
      </c>
      <c r="G63" s="4" t="s">
        <v>30</v>
      </c>
      <c r="H63" s="5" t="n">
        <f>2000.0</f>
        <v>2000.0</v>
      </c>
    </row>
    <row r="64">
      <c r="A64" s="3" t="s">
        <v>88</v>
      </c>
      <c r="B64" s="4" t="s">
        <v>89</v>
      </c>
      <c r="C64" s="4" t="s">
        <v>90</v>
      </c>
      <c r="D64" s="3" t="n">
        <v>2.0</v>
      </c>
      <c r="E64" s="4" t="s">
        <v>19</v>
      </c>
      <c r="F64" s="4" t="s">
        <v>20</v>
      </c>
      <c r="G64" s="4" t="s">
        <v>21</v>
      </c>
      <c r="H64" s="5" t="n">
        <f>400.0</f>
        <v>400.0</v>
      </c>
    </row>
    <row r="65">
      <c r="A65" s="3" t="s">
        <v>88</v>
      </c>
      <c r="B65" s="4" t="s">
        <v>89</v>
      </c>
      <c r="C65" s="4" t="s">
        <v>90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400.0</f>
        <v>400.0</v>
      </c>
    </row>
    <row r="66">
      <c r="A66" s="3" t="s">
        <v>88</v>
      </c>
      <c r="B66" s="4" t="s">
        <v>89</v>
      </c>
      <c r="C66" s="4" t="s">
        <v>90</v>
      </c>
      <c r="D66" s="3" t="n">
        <v>4.0</v>
      </c>
      <c r="E66" s="4" t="s">
        <v>25</v>
      </c>
      <c r="F66" s="4" t="s">
        <v>26</v>
      </c>
      <c r="G66" s="4" t="s">
        <v>27</v>
      </c>
      <c r="H66" s="5" t="n">
        <f>10.0</f>
        <v>10.0</v>
      </c>
    </row>
    <row r="67">
      <c r="A67" s="3" t="s">
        <v>88</v>
      </c>
      <c r="B67" s="4" t="s">
        <v>91</v>
      </c>
      <c r="C67" s="4" t="s">
        <v>92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300.0</f>
        <v>300.0</v>
      </c>
    </row>
    <row r="68">
      <c r="A68" s="3" t="s">
        <v>88</v>
      </c>
      <c r="B68" s="4" t="s">
        <v>91</v>
      </c>
      <c r="C68" s="4" t="s">
        <v>92</v>
      </c>
      <c r="D68" s="3" t="n">
        <v>2.0</v>
      </c>
      <c r="E68" s="4" t="s">
        <v>31</v>
      </c>
      <c r="F68" s="4" t="s">
        <v>32</v>
      </c>
      <c r="G68" s="4" t="s">
        <v>33</v>
      </c>
      <c r="H68" s="5" t="n">
        <f>200.0</f>
        <v>200.0</v>
      </c>
    </row>
    <row r="69">
      <c r="A69" s="3" t="s">
        <v>88</v>
      </c>
      <c r="B69" s="4" t="s">
        <v>91</v>
      </c>
      <c r="C69" s="4" t="s">
        <v>92</v>
      </c>
      <c r="D69" s="3" t="n">
        <v>3.0</v>
      </c>
      <c r="E69" s="4" t="s">
        <v>37</v>
      </c>
      <c r="F69" s="4" t="s">
        <v>38</v>
      </c>
      <c r="G69" s="4" t="s">
        <v>39</v>
      </c>
      <c r="H69" s="5" t="n">
        <f>100.0</f>
        <v>100.0</v>
      </c>
    </row>
    <row r="70">
      <c r="A70" s="3" t="s">
        <v>88</v>
      </c>
      <c r="B70" s="4" t="s">
        <v>91</v>
      </c>
      <c r="C70" s="4" t="s">
        <v>92</v>
      </c>
      <c r="D70" s="3" t="n">
        <v>4.0</v>
      </c>
      <c r="E70" s="4" t="s">
        <v>25</v>
      </c>
      <c r="F70" s="4" t="s">
        <v>26</v>
      </c>
      <c r="G70" s="4" t="s">
        <v>27</v>
      </c>
      <c r="H70" s="5" t="n">
        <f>8.0</f>
        <v>8.0</v>
      </c>
    </row>
    <row r="71">
      <c r="A71" s="3" t="s">
        <v>88</v>
      </c>
      <c r="B71" s="4" t="s">
        <v>93</v>
      </c>
      <c r="C71" s="4" t="s">
        <v>94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200.0</f>
        <v>200.0</v>
      </c>
    </row>
    <row r="72">
      <c r="A72" s="3" t="s">
        <v>88</v>
      </c>
      <c r="B72" s="4" t="s">
        <v>93</v>
      </c>
      <c r="C72" s="4" t="s">
        <v>94</v>
      </c>
      <c r="D72" s="3" t="n">
        <v>1.0</v>
      </c>
      <c r="E72" s="4" t="s">
        <v>16</v>
      </c>
      <c r="F72" s="4" t="s">
        <v>17</v>
      </c>
      <c r="G72" s="4" t="s">
        <v>18</v>
      </c>
      <c r="H72" s="5" t="n">
        <f>200.0</f>
        <v>200.0</v>
      </c>
    </row>
    <row r="73">
      <c r="A73" s="3" t="s">
        <v>88</v>
      </c>
      <c r="B73" s="4" t="s">
        <v>93</v>
      </c>
      <c r="C73" s="4" t="s">
        <v>94</v>
      </c>
      <c r="D73" s="3" t="n">
        <v>3.0</v>
      </c>
      <c r="E73" s="4" t="s">
        <v>25</v>
      </c>
      <c r="F73" s="4" t="s">
        <v>26</v>
      </c>
      <c r="G73" s="4" t="s">
        <v>27</v>
      </c>
      <c r="H73" s="5" t="n">
        <f>2.0</f>
        <v>2.0</v>
      </c>
    </row>
    <row r="74">
      <c r="A74" s="3" t="s">
        <v>88</v>
      </c>
      <c r="B74" s="4" t="s">
        <v>95</v>
      </c>
      <c r="C74" s="4" t="s">
        <v>96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120.0</f>
        <v>120.0</v>
      </c>
    </row>
    <row r="75">
      <c r="A75" s="3" t="s">
        <v>88</v>
      </c>
      <c r="B75" s="4" t="s">
        <v>97</v>
      </c>
      <c r="C75" s="4" t="s">
        <v>98</v>
      </c>
      <c r="D75" s="3" t="n">
        <v>1.0</v>
      </c>
      <c r="E75" s="4" t="s">
        <v>25</v>
      </c>
      <c r="F75" s="4" t="s">
        <v>26</v>
      </c>
      <c r="G75" s="4" t="s">
        <v>27</v>
      </c>
      <c r="H75" s="5" t="n">
        <f>6.0</f>
        <v>6.0</v>
      </c>
    </row>
    <row r="76">
      <c r="A76" s="3" t="s">
        <v>88</v>
      </c>
      <c r="B76" s="4" t="s">
        <v>99</v>
      </c>
      <c r="C76" s="4" t="s">
        <v>100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4.0</f>
        <v>4.0</v>
      </c>
    </row>
    <row r="77">
      <c r="A77" s="3" t="s">
        <v>88</v>
      </c>
      <c r="B77" s="4" t="s">
        <v>101</v>
      </c>
      <c r="C77" s="4" t="s">
        <v>102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