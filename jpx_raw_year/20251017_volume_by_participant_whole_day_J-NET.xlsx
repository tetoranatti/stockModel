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<sst xmlns="http://schemas.openxmlformats.org/spreadsheetml/2006/main" count="406" uniqueCount="98">
  <si>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</si>
  <si>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</si>
  <si>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</si>
  <si>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</si>
  <si>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</si>
  <si>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</si>
  <si>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</si>
  <si>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</si>
  <si>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</si>
  <si>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20251017</t>
  </si>
  <si>
    <t>NK225F</t>
  </si>
  <si>
    <t>160120018</t>
  </si>
  <si>
    <t>NIKKEI 225 FUT 2512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</si>
  <si>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</si>
  <si>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</si>
  <si>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</si>
  <si>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</si>
  <si>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</si>
  <si>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</si>
  <si>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</si>
  <si>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</si>
  <si>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</si>
  <si>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</si>
  <si>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</si>
  <si>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</si>
  <si>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</si>
  <si>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</si>
  <si>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</si>
  <si>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</si>
  <si>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</si>
  <si>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</si>
  <si>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</si>
  <si>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</si>
  <si>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</si>
  <si>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</si>
  <si>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</si>
  <si>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</si>
  <si>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</si>
  <si>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</si>
  <si>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</si>
  <si>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</si>
  <si>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</si>
  <si>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</si>
  <si>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</si>
  <si>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</si>
  <si>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</si>
  <si>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</si>
  <si>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</si>
  <si>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</si>
  <si>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12000</t>
  </si>
  <si>
    <t>大和証券</t>
  </si>
  <si>
    <t>Daiwa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</si>
  <si>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</si>
  <si>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</si>
  <si>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</si>
  <si>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</si>
  <si>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</si>
  <si>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</si>
  <si>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</si>
  <si>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</si>
  <si>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</si>
  <si>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</si>
  <si>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</si>
  <si>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</si>
  <si>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</si>
  <si>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</si>
  <si>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</si>
  <si>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12410</t>
  </si>
  <si>
    <t>バークレイズ証券</t>
  </si>
  <si>
    <t>Barclays Securities Japan</t>
  </si>
  <si>
    <t>161030018</t>
  </si>
  <si>
    <t>NIKKEI 225 FUT 2603</t>
  </si>
  <si>
    <t>12176</t>
  </si>
  <si>
    <t>ドイツ証券</t>
  </si>
  <si>
    <t>Deutsche Securities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</si>
  <si>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</si>
  <si>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</si>
  <si>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</si>
  <si>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</si>
  <si>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</si>
  <si>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</si>
  <si>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</si>
  <si>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</si>
  <si>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</si>
  <si>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</si>
  <si>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</si>
  <si>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180116718</t>
  </si>
  <si>
    <t>NIKKEI 225 OOP P2511-46750</t>
  </si>
  <si>
    <t>130237018</t>
  </si>
  <si>
    <t>NIKKEI 225 OOP P2511-47000</t>
  </si>
  <si>
    <t>140238218</t>
  </si>
  <si>
    <t>NIKKEI 225 OOP C2511-48250</t>
  </si>
  <si>
    <t>140118118</t>
  </si>
  <si>
    <t>NIKKEI 225 OOP C2511-48125</t>
  </si>
  <si>
    <t>140238018</t>
  </si>
  <si>
    <t>NIKKEI 225 OOP C2511-48000</t>
  </si>
  <si>
    <t>140237518</t>
  </si>
  <si>
    <t>NIKKEI 225 OOP C2511-47500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</si>
</sst>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2723.0</f>
        <v>2723.0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2238.0</f>
        <v>2238.0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1518.0</f>
        <v>1518.0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1262.0</f>
        <v>1262.0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1165.0</f>
        <v>1165.0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946.0</f>
        <v>946.0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876.0</f>
        <v>876.0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776.0</f>
        <v>776.0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654.0</f>
        <v>654.0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590.0</f>
        <v>590.0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509.0</f>
        <v>509.0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298.0</f>
        <v>298.0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270.0</f>
        <v>270.0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226.0</f>
        <v>226.0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214.0</f>
        <v>214.0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164.0</f>
        <v>164.0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27.0</f>
        <v>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72</v>
      </c>
      <c r="F28" s="4" t="s">
        <v>73</v>
      </c>
      <c r="G28" s="4" t="s">
        <v>74</v>
      </c>
      <c r="H28" s="5" t="n">
        <f>500.0</f>
        <v>500.0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500.0</f>
        <v>500.0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43</v>
      </c>
      <c r="F30" s="4" t="s">
        <v>44</v>
      </c>
      <c r="G30" s="4" t="s">
        <v>45</v>
      </c>
      <c r="H30" s="5" t="n">
        <f>150.0</f>
        <v>150.0</v>
      </c>
    </row>
    <row r="31">
      <c r="A31" s="3" t="s">
        <v>10</v>
      </c>
      <c r="B31" s="4" t="s">
        <v>70</v>
      </c>
      <c r="C31" s="4" t="s">
        <v>71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150.0</f>
        <v>150.0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16</v>
      </c>
      <c r="F32" s="4" t="s">
        <v>17</v>
      </c>
      <c r="G32" s="4" t="s">
        <v>18</v>
      </c>
      <c r="H32" s="5" t="n">
        <f>10.0</f>
        <v>10.0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46</v>
      </c>
      <c r="F33" s="4" t="s">
        <v>47</v>
      </c>
      <c r="G33" s="4" t="s">
        <v>48</v>
      </c>
      <c r="H33" s="5" t="n">
        <f>4.0</f>
        <v>4.0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61</v>
      </c>
      <c r="F34" s="4" t="s">
        <v>62</v>
      </c>
      <c r="G34" s="4" t="s">
        <v>63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2108.0</f>
        <v>2108.0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46</v>
      </c>
      <c r="F36" s="4" t="s">
        <v>47</v>
      </c>
      <c r="G36" s="4" t="s">
        <v>48</v>
      </c>
      <c r="H36" s="5" t="n">
        <f>2064.0</f>
        <v>2064.0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22</v>
      </c>
      <c r="F37" s="4" t="s">
        <v>23</v>
      </c>
      <c r="G37" s="4" t="s">
        <v>24</v>
      </c>
      <c r="H37" s="5" t="n">
        <f>1500.0</f>
        <v>1500.0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55</v>
      </c>
      <c r="F39" s="4" t="s">
        <v>56</v>
      </c>
      <c r="G39" s="4" t="s">
        <v>57</v>
      </c>
      <c r="H39" s="5" t="n">
        <f>500.0</f>
        <v>500.0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61</v>
      </c>
      <c r="F40" s="4" t="s">
        <v>62</v>
      </c>
      <c r="G40" s="4" t="s">
        <v>63</v>
      </c>
      <c r="H40" s="5" t="n">
        <f>54.0</f>
        <v>54.0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42424.0</f>
        <v>42424.0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23720.0</f>
        <v>23720.0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5292.0</f>
        <v>5292.0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31</v>
      </c>
      <c r="F44" s="4" t="s">
        <v>32</v>
      </c>
      <c r="G44" s="4" t="s">
        <v>33</v>
      </c>
      <c r="H44" s="5" t="n">
        <f>140.0</f>
        <v>140.0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13</v>
      </c>
      <c r="F45" s="4" t="s">
        <v>14</v>
      </c>
      <c r="G45" s="4" t="s">
        <v>15</v>
      </c>
      <c r="H45" s="5" t="n">
        <f>26.0</f>
        <v>26.0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34</v>
      </c>
      <c r="F46" s="4" t="s">
        <v>35</v>
      </c>
      <c r="G46" s="4" t="s">
        <v>36</v>
      </c>
      <c r="H46" s="5" t="n">
        <f>8.0</f>
        <v>8.0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19</v>
      </c>
      <c r="F47" s="4" t="s">
        <v>20</v>
      </c>
      <c r="G47" s="4" t="s">
        <v>21</v>
      </c>
      <c r="H47" s="5" t="n">
        <f>4.0</f>
        <v>4.0</v>
      </c>
    </row>
    <row r="48">
      <c r="A48" s="3" t="s">
        <v>75</v>
      </c>
      <c r="B48" s="4" t="s">
        <v>78</v>
      </c>
      <c r="C48" s="4" t="s">
        <v>79</v>
      </c>
      <c r="D48" s="3" t="n">
        <v>7.0</v>
      </c>
      <c r="E48" s="4" t="s">
        <v>64</v>
      </c>
      <c r="F48" s="4" t="s">
        <v>65</v>
      </c>
      <c r="G48" s="4" t="s">
        <v>66</v>
      </c>
      <c r="H48" s="5" t="n">
        <f>4.0</f>
        <v>4.0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40.0</f>
        <v>40.0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46</v>
      </c>
      <c r="F50" s="4" t="s">
        <v>47</v>
      </c>
      <c r="G50" s="4" t="s">
        <v>48</v>
      </c>
      <c r="H50" s="5" t="n">
        <f>34.0</f>
        <v>34.0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61</v>
      </c>
      <c r="F51" s="4" t="s">
        <v>62</v>
      </c>
      <c r="G51" s="4" t="s">
        <v>63</v>
      </c>
      <c r="H51" s="5" t="n">
        <f>10.0</f>
        <v>10.0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43</v>
      </c>
      <c r="F52" s="4" t="s">
        <v>44</v>
      </c>
      <c r="G52" s="4" t="s">
        <v>45</v>
      </c>
      <c r="H52" s="5" t="n">
        <f>3104.0</f>
        <v>3104.0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22</v>
      </c>
      <c r="F53" s="4" t="s">
        <v>23</v>
      </c>
      <c r="G53" s="4" t="s">
        <v>24</v>
      </c>
      <c r="H53" s="5" t="n">
        <f>1615.0</f>
        <v>1615.0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19</v>
      </c>
      <c r="F54" s="4" t="s">
        <v>20</v>
      </c>
      <c r="G54" s="4" t="s">
        <v>21</v>
      </c>
      <c r="H54" s="5" t="n">
        <f>1529.0</f>
        <v>1529.0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13</v>
      </c>
      <c r="F55" s="4" t="s">
        <v>14</v>
      </c>
      <c r="G55" s="4" t="s">
        <v>15</v>
      </c>
      <c r="H55" s="5" t="n">
        <f>1495.0</f>
        <v>1495.0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55</v>
      </c>
      <c r="F56" s="4" t="s">
        <v>56</v>
      </c>
      <c r="G56" s="4" t="s">
        <v>57</v>
      </c>
      <c r="H56" s="5" t="n">
        <f>1166.0</f>
        <v>1166.0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481.0</f>
        <v>481.0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34</v>
      </c>
      <c r="F58" s="4" t="s">
        <v>35</v>
      </c>
      <c r="G58" s="4" t="s">
        <v>36</v>
      </c>
      <c r="H58" s="5" t="n">
        <f>462.0</f>
        <v>462.0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31</v>
      </c>
      <c r="F59" s="4" t="s">
        <v>32</v>
      </c>
      <c r="G59" s="4" t="s">
        <v>33</v>
      </c>
      <c r="H59" s="5" t="n">
        <f>386.0</f>
        <v>386.0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52</v>
      </c>
      <c r="F60" s="4" t="s">
        <v>53</v>
      </c>
      <c r="G60" s="4" t="s">
        <v>54</v>
      </c>
      <c r="H60" s="5" t="n">
        <f>320.0</f>
        <v>320.0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28</v>
      </c>
      <c r="F61" s="4" t="s">
        <v>29</v>
      </c>
      <c r="G61" s="4" t="s">
        <v>30</v>
      </c>
      <c r="H61" s="5" t="n">
        <f>170.0</f>
        <v>170.0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40</v>
      </c>
      <c r="F62" s="4" t="s">
        <v>41</v>
      </c>
      <c r="G62" s="4" t="s">
        <v>42</v>
      </c>
      <c r="H62" s="5" t="n">
        <f>165.0</f>
        <v>165.0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25</v>
      </c>
      <c r="F63" s="4" t="s">
        <v>26</v>
      </c>
      <c r="G63" s="4" t="s">
        <v>27</v>
      </c>
      <c r="H63" s="5" t="n">
        <f>121.0</f>
        <v>121.0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67</v>
      </c>
      <c r="F64" s="4" t="s">
        <v>68</v>
      </c>
      <c r="G64" s="4" t="s">
        <v>69</v>
      </c>
      <c r="H64" s="5" t="n">
        <f>106.0</f>
        <v>106.0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37</v>
      </c>
      <c r="F65" s="4" t="s">
        <v>38</v>
      </c>
      <c r="G65" s="4" t="s">
        <v>39</v>
      </c>
      <c r="H65" s="5" t="n">
        <f>100.0</f>
        <v>100.0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49</v>
      </c>
      <c r="F66" s="4" t="s">
        <v>50</v>
      </c>
      <c r="G66" s="4" t="s">
        <v>51</v>
      </c>
      <c r="H66" s="5" t="n">
        <f>38.0</f>
        <v>38.0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61</v>
      </c>
      <c r="F67" s="4" t="s">
        <v>62</v>
      </c>
      <c r="G67" s="4" t="s">
        <v>63</v>
      </c>
      <c r="H67" s="5" t="n">
        <f>24.0</f>
        <v>24.0</v>
      </c>
    </row>
    <row r="68">
      <c r="A68" s="3" t="s">
        <v>85</v>
      </c>
      <c r="B68" s="4" t="s">
        <v>86</v>
      </c>
      <c r="C68" s="4" t="s">
        <v>87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2.0</f>
        <v>2.0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2.0</f>
        <v>2.0</v>
      </c>
    </row>
    <row r="70">
      <c r="A70" s="3" t="s">
        <v>85</v>
      </c>
      <c r="B70" s="4" t="s">
        <v>90</v>
      </c>
      <c r="C70" s="4" t="s">
        <v>91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2.0</f>
        <v>2.0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2.0</f>
        <v>2.0</v>
      </c>
    </row>
    <row r="72">
      <c r="A72" s="3" t="s">
        <v>85</v>
      </c>
      <c r="B72" s="4" t="s">
        <v>94</v>
      </c>
      <c r="C72" s="4" t="s">
        <v>95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260.0</f>
        <v>260.0</v>
      </c>
    </row>
    <row r="73">
      <c r="A73" s="3" t="s">
        <v>85</v>
      </c>
      <c r="B73" s="4" t="s">
        <v>94</v>
      </c>
      <c r="C73" s="4" t="s">
        <v>95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18.0</f>
        <v>18.0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