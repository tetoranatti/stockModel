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<sst xmlns="http://schemas.openxmlformats.org/spreadsheetml/2006/main" count="436" uniqueCount="101">
  <si>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</si>
  <si>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</si>
  <si>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</si>
  <si>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</si>
  <si>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</si>
  <si>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</si>
  <si>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</si>
  <si>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</si>
  <si>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</si>
  <si>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20260127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</si>
  <si>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</si>
  <si>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</si>
  <si>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</si>
  <si>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</si>
  <si>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</si>
  <si>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</si>
  <si>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</si>
  <si>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</si>
  <si>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</si>
  <si>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</si>
  <si>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</si>
  <si>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</si>
  <si>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12724</t>
  </si>
  <si>
    <t>ＨＳＢＣ証券</t>
  </si>
  <si>
    <t>HSBC Securities (Japan)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</si>
  <si>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</si>
  <si>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</si>
  <si>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</si>
  <si>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</si>
  <si>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</si>
  <si>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</si>
  <si>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</si>
  <si>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</si>
  <si>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</si>
  <si>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</si>
  <si>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</si>
  <si>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</si>
  <si>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</si>
  <si>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</si>
  <si>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</si>
  <si>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</si>
  <si>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</si>
  <si>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</si>
  <si>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</si>
  <si>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</si>
  <si>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</si>
  <si>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11746</t>
  </si>
  <si>
    <t>ＵＢＳ証券</t>
  </si>
  <si>
    <t>UBS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</si>
  <si>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</si>
  <si>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</si>
  <si>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</si>
  <si>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</si>
  <si>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</si>
  <si>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</si>
  <si>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</si>
  <si>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</si>
  <si>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</si>
  <si>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</si>
  <si>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</si>
  <si>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</si>
  <si>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</si>
  <si>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</si>
  <si>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</si>
  <si>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</si>
  <si>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</si>
  <si>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</si>
  <si>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</si>
  <si>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</si>
  <si>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</si>
  <si>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</si>
  <si>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</si>
  <si>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</si>
  <si>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</si>
  <si>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</si>
  <si>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</si>
  <si>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</si>
  <si>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</si>
  <si>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</si>
  <si>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</si>
  <si>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</si>
  <si>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</si>
  <si>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</si>
  <si>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</si>
  <si>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</si>
  <si>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11272</t>
  </si>
  <si>
    <t>岡三証券</t>
  </si>
  <si>
    <t>OKASAN SECURITIES</t>
  </si>
  <si>
    <t>161060005</t>
  </si>
  <si>
    <t>TOPIX FUT 2606</t>
  </si>
  <si>
    <t>NK225E</t>
  </si>
  <si>
    <t>131142718</t>
  </si>
  <si>
    <t>NIKKEI 225 OOP P2602-52750</t>
  </si>
  <si>
    <t>131143018</t>
  </si>
  <si>
    <t>NIKKEI 225 OOP P2602-53000</t>
  </si>
  <si>
    <t>131143518</t>
  </si>
  <si>
    <t>NIKKEI 225 OOP P2602-53500</t>
  </si>
  <si>
    <t>191144018</t>
  </si>
  <si>
    <t>NIKKEI 225 OOP C2602-54000</t>
  </si>
  <si>
    <t>141143518</t>
  </si>
  <si>
    <t>NIKKEI 225 OOP C2602-53500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</si>
</sst>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2191.0</f>
        <v>2191.0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1404.0</f>
        <v>1404.0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1318.0</f>
        <v>1318.0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1222.0</f>
        <v>1222.0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935.0</f>
        <v>935.0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759.0</f>
        <v>759.0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633.0</f>
        <v>633.0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484.0</f>
        <v>484.0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415.0</f>
        <v>415.0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376.0</f>
        <v>376.0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248.0</f>
        <v>248.0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247.0</f>
        <v>247.0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232.0</f>
        <v>232.0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222.0</f>
        <v>222.0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210.0</f>
        <v>210.0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144.0</f>
        <v>144.0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84.0</f>
        <v>84.0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62.0</f>
        <v>62.0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50.0</f>
        <v>50.0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28.0</f>
        <v>28.0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450.0</f>
        <v>450.0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250.0</f>
        <v>250.0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150.0</f>
        <v>150.0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50.0</f>
        <v>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2.0</f>
        <v>2.0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37</v>
      </c>
      <c r="F36" s="4" t="s">
        <v>38</v>
      </c>
      <c r="G36" s="4" t="s">
        <v>39</v>
      </c>
      <c r="H36" s="5" t="n">
        <f>1652.0</f>
        <v>1652.0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49</v>
      </c>
      <c r="F37" s="4" t="s">
        <v>50</v>
      </c>
      <c r="G37" s="4" t="s">
        <v>51</v>
      </c>
      <c r="H37" s="5" t="n">
        <f>1014.0</f>
        <v>1014.0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67</v>
      </c>
      <c r="F38" s="4" t="s">
        <v>68</v>
      </c>
      <c r="G38" s="4" t="s">
        <v>69</v>
      </c>
      <c r="H38" s="5" t="n">
        <f>116.0</f>
        <v>116.0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70</v>
      </c>
      <c r="F39" s="4" t="s">
        <v>71</v>
      </c>
      <c r="G39" s="4" t="s">
        <v>72</v>
      </c>
      <c r="H39" s="5" t="n">
        <f>30.0</f>
        <v>30.0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16</v>
      </c>
      <c r="F40" s="4" t="s">
        <v>17</v>
      </c>
      <c r="G40" s="4" t="s">
        <v>18</v>
      </c>
      <c r="H40" s="5" t="n">
        <f>30.0</f>
        <v>30.0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37</v>
      </c>
      <c r="F41" s="4" t="s">
        <v>38</v>
      </c>
      <c r="G41" s="4" t="s">
        <v>39</v>
      </c>
      <c r="H41" s="5" t="n">
        <f>26212.0</f>
        <v>26212.0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49</v>
      </c>
      <c r="F42" s="4" t="s">
        <v>50</v>
      </c>
      <c r="G42" s="4" t="s">
        <v>51</v>
      </c>
      <c r="H42" s="5" t="n">
        <f>16382.0</f>
        <v>16382.0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67</v>
      </c>
      <c r="F43" s="4" t="s">
        <v>68</v>
      </c>
      <c r="G43" s="4" t="s">
        <v>69</v>
      </c>
      <c r="H43" s="5" t="n">
        <f>5538.0</f>
        <v>5538.0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34</v>
      </c>
      <c r="F44" s="4" t="s">
        <v>35</v>
      </c>
      <c r="G44" s="4" t="s">
        <v>36</v>
      </c>
      <c r="H44" s="5" t="n">
        <f>296.0</f>
        <v>296.0</v>
      </c>
    </row>
    <row r="45">
      <c r="A45" s="3" t="s">
        <v>75</v>
      </c>
      <c r="B45" s="4" t="s">
        <v>78</v>
      </c>
      <c r="C45" s="4" t="s">
        <v>79</v>
      </c>
      <c r="D45" s="3" t="n">
        <v>5.0</v>
      </c>
      <c r="E45" s="4" t="s">
        <v>28</v>
      </c>
      <c r="F45" s="4" t="s">
        <v>29</v>
      </c>
      <c r="G45" s="4" t="s">
        <v>30</v>
      </c>
      <c r="H45" s="5" t="n">
        <f>77.0</f>
        <v>77.0</v>
      </c>
    </row>
    <row r="46">
      <c r="A46" s="3" t="s">
        <v>75</v>
      </c>
      <c r="B46" s="4" t="s">
        <v>78</v>
      </c>
      <c r="C46" s="4" t="s">
        <v>79</v>
      </c>
      <c r="D46" s="3" t="n">
        <v>5.0</v>
      </c>
      <c r="E46" s="4" t="s">
        <v>55</v>
      </c>
      <c r="F46" s="4" t="s">
        <v>56</v>
      </c>
      <c r="G46" s="4" t="s">
        <v>57</v>
      </c>
      <c r="H46" s="5" t="n">
        <f>77.0</f>
        <v>77.0</v>
      </c>
    </row>
    <row r="47">
      <c r="A47" s="3" t="s">
        <v>75</v>
      </c>
      <c r="B47" s="4" t="s">
        <v>78</v>
      </c>
      <c r="C47" s="4" t="s">
        <v>79</v>
      </c>
      <c r="D47" s="3" t="n">
        <v>7.0</v>
      </c>
      <c r="E47" s="4" t="s">
        <v>13</v>
      </c>
      <c r="F47" s="4" t="s">
        <v>14</v>
      </c>
      <c r="G47" s="4" t="s">
        <v>15</v>
      </c>
      <c r="H47" s="5" t="n">
        <f>28.0</f>
        <v>28.0</v>
      </c>
    </row>
    <row r="48">
      <c r="A48" s="3" t="s">
        <v>75</v>
      </c>
      <c r="B48" s="4" t="s">
        <v>78</v>
      </c>
      <c r="C48" s="4" t="s">
        <v>79</v>
      </c>
      <c r="D48" s="3" t="n">
        <v>8.0</v>
      </c>
      <c r="E48" s="4" t="s">
        <v>61</v>
      </c>
      <c r="F48" s="4" t="s">
        <v>62</v>
      </c>
      <c r="G48" s="4" t="s">
        <v>63</v>
      </c>
      <c r="H48" s="5" t="n">
        <f>8.0</f>
        <v>8.0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49</v>
      </c>
      <c r="F49" s="4" t="s">
        <v>50</v>
      </c>
      <c r="G49" s="4" t="s">
        <v>51</v>
      </c>
      <c r="H49" s="5" t="n">
        <f>20.0</f>
        <v>20.0</v>
      </c>
    </row>
    <row r="50">
      <c r="A50" s="3" t="s">
        <v>75</v>
      </c>
      <c r="B50" s="4" t="s">
        <v>80</v>
      </c>
      <c r="C50" s="4" t="s">
        <v>81</v>
      </c>
      <c r="D50" s="3" t="n">
        <v>2.0</v>
      </c>
      <c r="E50" s="4" t="s">
        <v>37</v>
      </c>
      <c r="F50" s="4" t="s">
        <v>38</v>
      </c>
      <c r="G50" s="4" t="s">
        <v>39</v>
      </c>
      <c r="H50" s="5" t="n">
        <f>4.0</f>
        <v>4.0</v>
      </c>
    </row>
    <row r="51">
      <c r="A51" s="3" t="s">
        <v>75</v>
      </c>
      <c r="B51" s="4" t="s">
        <v>80</v>
      </c>
      <c r="C51" s="4" t="s">
        <v>81</v>
      </c>
      <c r="D51" s="3" t="n">
        <v>3.0</v>
      </c>
      <c r="E51" s="4" t="s">
        <v>67</v>
      </c>
      <c r="F51" s="4" t="s">
        <v>68</v>
      </c>
      <c r="G51" s="4" t="s">
        <v>69</v>
      </c>
      <c r="H51" s="5" t="n">
        <f>2.0</f>
        <v>2.0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34</v>
      </c>
      <c r="F52" s="4" t="s">
        <v>35</v>
      </c>
      <c r="G52" s="4" t="s">
        <v>36</v>
      </c>
      <c r="H52" s="5" t="n">
        <f>4210.0</f>
        <v>4210.0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25</v>
      </c>
      <c r="F53" s="4" t="s">
        <v>26</v>
      </c>
      <c r="G53" s="4" t="s">
        <v>27</v>
      </c>
      <c r="H53" s="5" t="n">
        <f>3582.0</f>
        <v>3582.0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55</v>
      </c>
      <c r="F54" s="4" t="s">
        <v>56</v>
      </c>
      <c r="G54" s="4" t="s">
        <v>57</v>
      </c>
      <c r="H54" s="5" t="n">
        <f>2956.0</f>
        <v>2956.0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31</v>
      </c>
      <c r="F55" s="4" t="s">
        <v>32</v>
      </c>
      <c r="G55" s="4" t="s">
        <v>33</v>
      </c>
      <c r="H55" s="5" t="n">
        <f>1712.0</f>
        <v>1712.0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19</v>
      </c>
      <c r="F56" s="4" t="s">
        <v>20</v>
      </c>
      <c r="G56" s="4" t="s">
        <v>21</v>
      </c>
      <c r="H56" s="5" t="n">
        <f>1508.0</f>
        <v>1508.0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61</v>
      </c>
      <c r="F57" s="4" t="s">
        <v>62</v>
      </c>
      <c r="G57" s="4" t="s">
        <v>63</v>
      </c>
      <c r="H57" s="5" t="n">
        <f>1398.0</f>
        <v>1398.0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43</v>
      </c>
      <c r="F58" s="4" t="s">
        <v>44</v>
      </c>
      <c r="G58" s="4" t="s">
        <v>45</v>
      </c>
      <c r="H58" s="5" t="n">
        <f>1211.0</f>
        <v>1211.0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16</v>
      </c>
      <c r="F59" s="4" t="s">
        <v>17</v>
      </c>
      <c r="G59" s="4" t="s">
        <v>18</v>
      </c>
      <c r="H59" s="5" t="n">
        <f>1074.0</f>
        <v>1074.0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28</v>
      </c>
      <c r="F60" s="4" t="s">
        <v>29</v>
      </c>
      <c r="G60" s="4" t="s">
        <v>30</v>
      </c>
      <c r="H60" s="5" t="n">
        <f>1067.0</f>
        <v>1067.0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13</v>
      </c>
      <c r="F61" s="4" t="s">
        <v>14</v>
      </c>
      <c r="G61" s="4" t="s">
        <v>15</v>
      </c>
      <c r="H61" s="5" t="n">
        <f>960.0</f>
        <v>960.0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52</v>
      </c>
      <c r="F62" s="4" t="s">
        <v>53</v>
      </c>
      <c r="G62" s="4" t="s">
        <v>54</v>
      </c>
      <c r="H62" s="5" t="n">
        <f>432.0</f>
        <v>432.0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40</v>
      </c>
      <c r="F63" s="4" t="s">
        <v>41</v>
      </c>
      <c r="G63" s="4" t="s">
        <v>42</v>
      </c>
      <c r="H63" s="5" t="n">
        <f>429.0</f>
        <v>429.0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58</v>
      </c>
      <c r="F64" s="4" t="s">
        <v>59</v>
      </c>
      <c r="G64" s="4" t="s">
        <v>60</v>
      </c>
      <c r="H64" s="5" t="n">
        <f>408.0</f>
        <v>408.0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46</v>
      </c>
      <c r="F65" s="4" t="s">
        <v>47</v>
      </c>
      <c r="G65" s="4" t="s">
        <v>48</v>
      </c>
      <c r="H65" s="5" t="n">
        <f>187.0</f>
        <v>187.0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85</v>
      </c>
      <c r="F66" s="4" t="s">
        <v>86</v>
      </c>
      <c r="G66" s="4" t="s">
        <v>87</v>
      </c>
      <c r="H66" s="5" t="n">
        <f>70.0</f>
        <v>70.0</v>
      </c>
    </row>
    <row r="67">
      <c r="A67" s="3" t="s">
        <v>82</v>
      </c>
      <c r="B67" s="4" t="s">
        <v>83</v>
      </c>
      <c r="C67" s="4" t="s">
        <v>84</v>
      </c>
      <c r="D67" s="3" t="n">
        <v>16.0</v>
      </c>
      <c r="E67" s="4" t="s">
        <v>37</v>
      </c>
      <c r="F67" s="4" t="s">
        <v>38</v>
      </c>
      <c r="G67" s="4" t="s">
        <v>39</v>
      </c>
      <c r="H67" s="5" t="n">
        <f>66.0</f>
        <v>66.0</v>
      </c>
    </row>
    <row r="68">
      <c r="A68" s="3" t="s">
        <v>82</v>
      </c>
      <c r="B68" s="4" t="s">
        <v>83</v>
      </c>
      <c r="C68" s="4" t="s">
        <v>84</v>
      </c>
      <c r="D68" s="3" t="n">
        <v>17.0</v>
      </c>
      <c r="E68" s="4" t="s">
        <v>67</v>
      </c>
      <c r="F68" s="4" t="s">
        <v>68</v>
      </c>
      <c r="G68" s="4" t="s">
        <v>69</v>
      </c>
      <c r="H68" s="5" t="n">
        <f>10.0</f>
        <v>10.0</v>
      </c>
    </row>
    <row r="69">
      <c r="A69" s="3" t="s">
        <v>82</v>
      </c>
      <c r="B69" s="4" t="s">
        <v>88</v>
      </c>
      <c r="C69" s="4" t="s">
        <v>89</v>
      </c>
      <c r="D69" s="3" t="n">
        <v>1.0</v>
      </c>
      <c r="E69" s="4" t="s">
        <v>34</v>
      </c>
      <c r="F69" s="4" t="s">
        <v>35</v>
      </c>
      <c r="G69" s="4" t="s">
        <v>36</v>
      </c>
      <c r="H69" s="5" t="n">
        <f>400.0</f>
        <v>400.0</v>
      </c>
    </row>
    <row r="70">
      <c r="A70" s="3" t="s">
        <v>82</v>
      </c>
      <c r="B70" s="4" t="s">
        <v>88</v>
      </c>
      <c r="C70" s="4" t="s">
        <v>89</v>
      </c>
      <c r="D70" s="3" t="n">
        <v>2.0</v>
      </c>
      <c r="E70" s="4" t="s">
        <v>31</v>
      </c>
      <c r="F70" s="4" t="s">
        <v>32</v>
      </c>
      <c r="G70" s="4" t="s">
        <v>33</v>
      </c>
      <c r="H70" s="5" t="n">
        <f>300.0</f>
        <v>300.0</v>
      </c>
    </row>
    <row r="71">
      <c r="A71" s="3" t="s">
        <v>82</v>
      </c>
      <c r="B71" s="4" t="s">
        <v>88</v>
      </c>
      <c r="C71" s="4" t="s">
        <v>89</v>
      </c>
      <c r="D71" s="3" t="n">
        <v>3.0</v>
      </c>
      <c r="E71" s="4" t="s">
        <v>46</v>
      </c>
      <c r="F71" s="4" t="s">
        <v>47</v>
      </c>
      <c r="G71" s="4" t="s">
        <v>48</v>
      </c>
      <c r="H71" s="5" t="n">
        <f>100.0</f>
        <v>100.0</v>
      </c>
    </row>
    <row r="72">
      <c r="A72" s="3" t="s">
        <v>90</v>
      </c>
      <c r="B72" s="4" t="s">
        <v>91</v>
      </c>
      <c r="C72" s="4" t="s">
        <v>92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200.0</f>
        <v>200.0</v>
      </c>
    </row>
    <row r="73">
      <c r="A73" s="3" t="s">
        <v>90</v>
      </c>
      <c r="B73" s="4" t="s">
        <v>93</v>
      </c>
      <c r="C73" s="4" t="s">
        <v>94</v>
      </c>
      <c r="D73" s="3" t="n">
        <v>1.0</v>
      </c>
      <c r="E73" s="4" t="s">
        <v>70</v>
      </c>
      <c r="F73" s="4" t="s">
        <v>71</v>
      </c>
      <c r="G73" s="4" t="s">
        <v>72</v>
      </c>
      <c r="H73" s="5" t="n">
        <f>20.0</f>
        <v>20.0</v>
      </c>
    </row>
    <row r="74">
      <c r="A74" s="3" t="s">
        <v>90</v>
      </c>
      <c r="B74" s="4" t="s">
        <v>93</v>
      </c>
      <c r="C74" s="4" t="s">
        <v>94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20.0</f>
        <v>20.0</v>
      </c>
    </row>
    <row r="75">
      <c r="A75" s="3" t="s">
        <v>90</v>
      </c>
      <c r="B75" s="4" t="s">
        <v>95</v>
      </c>
      <c r="C75" s="4" t="s">
        <v>96</v>
      </c>
      <c r="D75" s="3" t="n">
        <v>1.0</v>
      </c>
      <c r="E75" s="4" t="s">
        <v>37</v>
      </c>
      <c r="F75" s="4" t="s">
        <v>38</v>
      </c>
      <c r="G75" s="4" t="s">
        <v>39</v>
      </c>
      <c r="H75" s="5" t="n">
        <f>2.0</f>
        <v>2.0</v>
      </c>
    </row>
    <row r="76">
      <c r="A76" s="3" t="s">
        <v>90</v>
      </c>
      <c r="B76" s="4" t="s">
        <v>97</v>
      </c>
      <c r="C76" s="4" t="s">
        <v>98</v>
      </c>
      <c r="D76" s="3" t="n">
        <v>1.0</v>
      </c>
      <c r="E76" s="4" t="s">
        <v>49</v>
      </c>
      <c r="F76" s="4" t="s">
        <v>50</v>
      </c>
      <c r="G76" s="4" t="s">
        <v>51</v>
      </c>
      <c r="H76" s="5" t="n">
        <f>14.0</f>
        <v>14.0</v>
      </c>
    </row>
    <row r="77">
      <c r="A77" s="3" t="s">
        <v>90</v>
      </c>
      <c r="B77" s="4" t="s">
        <v>97</v>
      </c>
      <c r="C77" s="4" t="s">
        <v>98</v>
      </c>
      <c r="D77" s="3" t="n">
        <v>2.0</v>
      </c>
      <c r="E77" s="4" t="s">
        <v>37</v>
      </c>
      <c r="F77" s="4" t="s">
        <v>38</v>
      </c>
      <c r="G77" s="4" t="s">
        <v>39</v>
      </c>
      <c r="H77" s="5" t="n">
        <f>4.0</f>
        <v>4.0</v>
      </c>
    </row>
    <row r="78">
      <c r="A78" s="3" t="s">
        <v>90</v>
      </c>
      <c r="B78" s="4" t="s">
        <v>99</v>
      </c>
      <c r="C78" s="4" t="s">
        <v>100</v>
      </c>
      <c r="D78" s="3" t="n">
        <v>1.0</v>
      </c>
      <c r="E78" s="4" t="s">
        <v>37</v>
      </c>
      <c r="F78" s="4" t="s">
        <v>38</v>
      </c>
      <c r="G78" s="4" t="s">
        <v>39</v>
      </c>
      <c r="H78" s="5" t="n">
        <f>8.0</f>
        <v>8.0</v>
      </c>
    </row>
    <row r="79">
      <c r="A79" s="3" t="s">
        <v>90</v>
      </c>
      <c r="B79" s="4" t="s">
        <v>99</v>
      </c>
      <c r="C79" s="4" t="s">
        <v>100</v>
      </c>
      <c r="D79" s="3" t="n">
        <v>2.0</v>
      </c>
      <c r="E79" s="4" t="s">
        <v>49</v>
      </c>
      <c r="F79" s="4" t="s">
        <v>50</v>
      </c>
      <c r="G79" s="4" t="s">
        <v>51</v>
      </c>
      <c r="H7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