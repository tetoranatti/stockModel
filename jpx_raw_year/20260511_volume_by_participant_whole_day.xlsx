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<sst xmlns="http://schemas.openxmlformats.org/spreadsheetml/2006/main" count="1240" uniqueCount="205">
  <si>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</si>
  <si>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</si>
  <si>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</si>
  <si>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</si>
  <si>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</si>
  <si>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</si>
  <si>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</si>
  <si>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</si>
  <si>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</si>
  <si>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20260511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</si>
  <si>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</si>
  <si>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</si>
  <si>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</si>
  <si>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</si>
  <si>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</si>
  <si>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</si>
  <si>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</si>
  <si>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</si>
  <si>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</si>
  <si>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</si>
  <si>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</si>
  <si>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</si>
  <si>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</si>
  <si>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</si>
  <si>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</si>
  <si>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</si>
  <si>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</si>
  <si>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</si>
  <si>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</si>
  <si>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</si>
  <si>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</si>
  <si>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12176</t>
  </si>
  <si>
    <t>ドイツ証券</t>
  </si>
  <si>
    <t>Deutsche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</si>
  <si>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</si>
  <si>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</si>
  <si>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</si>
  <si>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</si>
  <si>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</si>
  <si>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</si>
  <si>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</si>
  <si>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</si>
  <si>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</si>
  <si>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</si>
  <si>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</si>
  <si>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</si>
  <si>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</si>
  <si>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</si>
  <si>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</si>
  <si>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</si>
  <si>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</si>
  <si>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</si>
  <si>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</si>
  <si>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</si>
  <si>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</si>
  <si>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</si>
  <si>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</si>
  <si>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</si>
  <si>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</si>
  <si>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</si>
  <si>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</si>
  <si>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</si>
  <si>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</si>
  <si>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</si>
  <si>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</si>
  <si>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</si>
  <si>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</si>
  <si>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</si>
  <si>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</si>
  <si>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</si>
  <si>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</si>
  <si>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</si>
  <si>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</si>
  <si>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161090018</t>
  </si>
  <si>
    <t>NIKKEI 225 FUT 2609</t>
  </si>
  <si>
    <t>11638</t>
  </si>
  <si>
    <t>ナティクシス証券</t>
  </si>
  <si>
    <t>Natixis Japan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</si>
  <si>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</si>
  <si>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</si>
  <si>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</si>
  <si>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</si>
  <si>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</si>
  <si>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</si>
  <si>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11060</t>
  </si>
  <si>
    <t>三菱ＵＦＪｅスマート</t>
  </si>
  <si>
    <t>Mitsubishi UFJ eSmart Securities</t>
  </si>
  <si>
    <t>11544</t>
  </si>
  <si>
    <t>岩井コスモ証券</t>
  </si>
  <si>
    <t>IwaiCosmo Securities</t>
  </si>
  <si>
    <t>12795</t>
  </si>
  <si>
    <t>インタラクティブ証券</t>
  </si>
  <si>
    <t>Interactive Brokers Securities Japan</t>
  </si>
  <si>
    <t>NK225MF</t>
  </si>
  <si>
    <t>161060019</t>
  </si>
  <si>
    <t>MINI NK225 FUT 2606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</si>
  <si>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</si>
  <si>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</si>
  <si>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</si>
  <si>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</si>
  <si>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</si>
  <si>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</si>
  <si>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</si>
  <si>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</si>
  <si>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</si>
  <si>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</si>
  <si>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</si>
  <si>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</si>
  <si>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</si>
  <si>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</si>
  <si>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</si>
  <si>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</si>
  <si>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161090005</t>
  </si>
  <si>
    <t>TOPIX FUT 2609</t>
  </si>
  <si>
    <t>NK225E</t>
  </si>
  <si>
    <t>131301518</t>
  </si>
  <si>
    <t>NIKKEI 225 OOP P2606-61500</t>
  </si>
  <si>
    <t>181061618</t>
  </si>
  <si>
    <t>NIKKEI 225 OOP P2606-61625</t>
  </si>
  <si>
    <t>131301718</t>
  </si>
  <si>
    <t>NIKKEI 225 OOP P2606-61750</t>
  </si>
  <si>
    <t>181061818</t>
  </si>
  <si>
    <t>NIKKEI 225 OOP P2606-61875</t>
  </si>
  <si>
    <t>131302018</t>
  </si>
  <si>
    <t>NIKKEI 225 OOP P2606-62000</t>
  </si>
  <si>
    <t>181062118</t>
  </si>
  <si>
    <t>NIKKEI 225 OOP P2606-62125</t>
  </si>
  <si>
    <t>181062318</t>
  </si>
  <si>
    <t>NIKKEI 225 OOP P2606-62375</t>
  </si>
  <si>
    <t>181182518</t>
  </si>
  <si>
    <t>NIKKEI 225 OOP P2606-62500</t>
  </si>
  <si>
    <t>181062618</t>
  </si>
  <si>
    <t>NIKKEI 225 OOP P2606-62625</t>
  </si>
  <si>
    <t>191063318</t>
  </si>
  <si>
    <t>NIKKEI 225 OOP C2606-63375</t>
  </si>
  <si>
    <t>191303218</t>
  </si>
  <si>
    <t>NIKKEI 225 OOP C2606-63250</t>
  </si>
  <si>
    <t>191063118</t>
  </si>
  <si>
    <t>NIKKEI 225 OOP C2606-63125</t>
  </si>
  <si>
    <t>191303018</t>
  </si>
  <si>
    <t>NIKKEI 225 OOP C2606-63000</t>
  </si>
  <si>
    <t>11448</t>
  </si>
  <si>
    <t>Ｊトラストグローバル</t>
  </si>
  <si>
    <t>J Trust Global Securities</t>
  </si>
  <si>
    <t>11840</t>
  </si>
  <si>
    <t>立花証券</t>
  </si>
  <si>
    <t>THE TACHIBANA SECURITIES</t>
  </si>
  <si>
    <t>191062818</t>
  </si>
  <si>
    <t>NIKKEI 225 OOP C2606-62875</t>
  </si>
  <si>
    <t>191302718</t>
  </si>
  <si>
    <t>NIKKEI 225 OOP C2606-62750</t>
  </si>
  <si>
    <t>191182518</t>
  </si>
  <si>
    <t>NIKKEI 225 OOP C2606-62500</t>
  </si>
  <si>
    <t>141302218</t>
  </si>
  <si>
    <t>NIKKEI 225 OOP C2606-62250</t>
  </si>
  <si>
    <t>EQOP</t>
  </si>
  <si>
    <t>219051321</t>
  </si>
  <si>
    <t>1321 OOP P2607-60000</t>
  </si>
  <si>
    <t>11512</t>
  </si>
  <si>
    <t>光世証券</t>
  </si>
  <si>
    <t>The Kosei Securities</t>
  </si>
  <si>
    <t>12240</t>
  </si>
  <si>
    <t>ムームー証券</t>
  </si>
  <si>
    <t>Moomoo Securities Japan</t>
  </si>
  <si>
    <t>218145401</t>
  </si>
  <si>
    <t>5401 OOP P2606-575</t>
  </si>
  <si>
    <t>12072</t>
  </si>
  <si>
    <t>東海東京証券</t>
  </si>
  <si>
    <t>Tokai Tokyo Securities</t>
  </si>
  <si>
    <t>321109432</t>
  </si>
  <si>
    <t>9432 OOP C2609-155</t>
  </si>
  <si>
    <t>218301321</t>
  </si>
  <si>
    <t>1321 OOP P2606-64000</t>
  </si>
  <si>
    <t>319115401</t>
  </si>
  <si>
    <t>5401 OOP C2607-575</t>
  </si>
  <si>
    <t>319138604</t>
  </si>
  <si>
    <t>8604 OOP C2607-1350</t>
  </si>
  <si>
    <t>318177203</t>
  </si>
  <si>
    <t>7203 OOP C2606-3000</t>
  </si>
  <si>
    <t>218254063</t>
  </si>
  <si>
    <t>4063 OOP P2606-7500</t>
  </si>
  <si>
    <t>218299432</t>
  </si>
  <si>
    <t>9432 OOP P2606-145</t>
  </si>
  <si>
    <t>318228306</t>
  </si>
  <si>
    <t>8306 OOP C2606-3000</t>
  </si>
  <si>
    <t>218167011</t>
  </si>
  <si>
    <t>7011 OOP P2606-4200</t>
  </si>
  <si>
    <t>318365803</t>
  </si>
  <si>
    <t>5803 OOP C2606-7000</t>
  </si>
  <si>
    <t>218157203</t>
  </si>
  <si>
    <t>7203 OOP P2606-2800</t>
  </si>
  <si>
    <t>318046758</t>
  </si>
  <si>
    <t>6758 OOP C2606-3400</t>
  </si>
  <si>
    <t>219019984</t>
  </si>
  <si>
    <t>9984 OOP P2607-4600</t>
  </si>
  <si>
    <t>318229101</t>
  </si>
  <si>
    <t>9101 OOP C2606-6500</t>
  </si>
  <si>
    <t>219016503</t>
  </si>
  <si>
    <t>6503 OOP P2607-5500</t>
  </si>
  <si>
    <t>319167011</t>
  </si>
  <si>
    <t>7011 OOP C2607-5000</t>
  </si>
  <si>
    <t>318668035</t>
  </si>
  <si>
    <t>8035 OOP C2606-54000</t>
  </si>
  <si>
    <t>218069432</t>
  </si>
  <si>
    <t>9432 OOP P2606-150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</si>
</sst>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13202.0</f>
        <v>13202.0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8269.0</f>
        <v>8269.0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2886.0</f>
        <v>2886.0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2455.0</f>
        <v>2455.0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1900.0</f>
        <v>1900.0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1787.0</f>
        <v>1787.0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1632.0</f>
        <v>1632.0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1440.0</f>
        <v>1440.0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1234.0</f>
        <v>1234.0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1046.0</f>
        <v>1046.0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998.0</f>
        <v>998.0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992.0</f>
        <v>992.0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988.0</f>
        <v>988.0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894.0</f>
        <v>894.0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721.0</f>
        <v>721.0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567.0</f>
        <v>567.0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552.0</f>
        <v>552.0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507.0</f>
        <v>507.0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415.0</f>
        <v>415.0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200.0</f>
        <v>200.0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110.0</f>
        <v>110.0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74.0</f>
        <v>74.0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29.0</f>
        <v>29.0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20.0</f>
        <v>20.0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78</v>
      </c>
      <c r="F34" s="4" t="s">
        <v>79</v>
      </c>
      <c r="G34" s="4" t="s">
        <v>80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81</v>
      </c>
      <c r="F36" s="4" t="s">
        <v>82</v>
      </c>
      <c r="G36" s="4" t="s">
        <v>83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84</v>
      </c>
      <c r="F37" s="4" t="s">
        <v>85</v>
      </c>
      <c r="G37" s="4" t="s">
        <v>86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58</v>
      </c>
      <c r="F38" s="4" t="s">
        <v>59</v>
      </c>
      <c r="G38" s="4" t="s">
        <v>60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19</v>
      </c>
      <c r="F39" s="4" t="s">
        <v>20</v>
      </c>
      <c r="G39" s="4" t="s">
        <v>21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34</v>
      </c>
      <c r="F41" s="4" t="s">
        <v>35</v>
      </c>
      <c r="G41" s="4" t="s">
        <v>36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52</v>
      </c>
      <c r="F42" s="4" t="s">
        <v>53</v>
      </c>
      <c r="G42" s="4" t="s">
        <v>54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87</v>
      </c>
      <c r="F43" s="4" t="s">
        <v>88</v>
      </c>
      <c r="G43" s="4" t="s">
        <v>89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90</v>
      </c>
      <c r="F44" s="4" t="s">
        <v>91</v>
      </c>
      <c r="G44" s="4" t="s">
        <v>92</v>
      </c>
      <c r="H44" s="5" t="n">
        <f>1.0</f>
        <v>1.0</v>
      </c>
    </row>
    <row r="45">
      <c r="A45" s="3" t="s">
        <v>93</v>
      </c>
      <c r="B45" s="4" t="s">
        <v>94</v>
      </c>
      <c r="C45" s="4" t="s">
        <v>95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179904.0</f>
        <v>179904.0</v>
      </c>
    </row>
    <row r="46">
      <c r="A46" s="3" t="s">
        <v>93</v>
      </c>
      <c r="B46" s="4" t="s">
        <v>94</v>
      </c>
      <c r="C46" s="4" t="s">
        <v>95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118583.0</f>
        <v>118583.0</v>
      </c>
    </row>
    <row r="47">
      <c r="A47" s="3" t="s">
        <v>93</v>
      </c>
      <c r="B47" s="4" t="s">
        <v>94</v>
      </c>
      <c r="C47" s="4" t="s">
        <v>95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52944.0</f>
        <v>52944.0</v>
      </c>
    </row>
    <row r="48">
      <c r="A48" s="3" t="s">
        <v>93</v>
      </c>
      <c r="B48" s="4" t="s">
        <v>94</v>
      </c>
      <c r="C48" s="4" t="s">
        <v>95</v>
      </c>
      <c r="D48" s="3" t="n">
        <v>4.0</v>
      </c>
      <c r="E48" s="4" t="s">
        <v>28</v>
      </c>
      <c r="F48" s="4" t="s">
        <v>29</v>
      </c>
      <c r="G48" s="4" t="s">
        <v>30</v>
      </c>
      <c r="H48" s="5" t="n">
        <f>34399.0</f>
        <v>34399.0</v>
      </c>
    </row>
    <row r="49">
      <c r="A49" s="3" t="s">
        <v>93</v>
      </c>
      <c r="B49" s="4" t="s">
        <v>94</v>
      </c>
      <c r="C49" s="4" t="s">
        <v>95</v>
      </c>
      <c r="D49" s="3" t="n">
        <v>5.0</v>
      </c>
      <c r="E49" s="4" t="s">
        <v>55</v>
      </c>
      <c r="F49" s="4" t="s">
        <v>56</v>
      </c>
      <c r="G49" s="4" t="s">
        <v>57</v>
      </c>
      <c r="H49" s="5" t="n">
        <f>22680.0</f>
        <v>22680.0</v>
      </c>
    </row>
    <row r="50">
      <c r="A50" s="3" t="s">
        <v>93</v>
      </c>
      <c r="B50" s="4" t="s">
        <v>94</v>
      </c>
      <c r="C50" s="4" t="s">
        <v>95</v>
      </c>
      <c r="D50" s="3" t="n">
        <v>6.0</v>
      </c>
      <c r="E50" s="4" t="s">
        <v>58</v>
      </c>
      <c r="F50" s="4" t="s">
        <v>59</v>
      </c>
      <c r="G50" s="4" t="s">
        <v>60</v>
      </c>
      <c r="H50" s="5" t="n">
        <f>18786.0</f>
        <v>18786.0</v>
      </c>
    </row>
    <row r="51">
      <c r="A51" s="3" t="s">
        <v>93</v>
      </c>
      <c r="B51" s="4" t="s">
        <v>94</v>
      </c>
      <c r="C51" s="4" t="s">
        <v>95</v>
      </c>
      <c r="D51" s="3" t="n">
        <v>7.0</v>
      </c>
      <c r="E51" s="4" t="s">
        <v>52</v>
      </c>
      <c r="F51" s="4" t="s">
        <v>53</v>
      </c>
      <c r="G51" s="4" t="s">
        <v>54</v>
      </c>
      <c r="H51" s="5" t="n">
        <f>17356.0</f>
        <v>17356.0</v>
      </c>
    </row>
    <row r="52">
      <c r="A52" s="3" t="s">
        <v>93</v>
      </c>
      <c r="B52" s="4" t="s">
        <v>94</v>
      </c>
      <c r="C52" s="4" t="s">
        <v>95</v>
      </c>
      <c r="D52" s="3" t="n">
        <v>8.0</v>
      </c>
      <c r="E52" s="4" t="s">
        <v>25</v>
      </c>
      <c r="F52" s="4" t="s">
        <v>26</v>
      </c>
      <c r="G52" s="4" t="s">
        <v>27</v>
      </c>
      <c r="H52" s="5" t="n">
        <f>12996.0</f>
        <v>12996.0</v>
      </c>
    </row>
    <row r="53">
      <c r="A53" s="3" t="s">
        <v>93</v>
      </c>
      <c r="B53" s="4" t="s">
        <v>94</v>
      </c>
      <c r="C53" s="4" t="s">
        <v>95</v>
      </c>
      <c r="D53" s="3" t="n">
        <v>9.0</v>
      </c>
      <c r="E53" s="4" t="s">
        <v>34</v>
      </c>
      <c r="F53" s="4" t="s">
        <v>35</v>
      </c>
      <c r="G53" s="4" t="s">
        <v>36</v>
      </c>
      <c r="H53" s="5" t="n">
        <f>8627.0</f>
        <v>8627.0</v>
      </c>
    </row>
    <row r="54">
      <c r="A54" s="3" t="s">
        <v>93</v>
      </c>
      <c r="B54" s="4" t="s">
        <v>94</v>
      </c>
      <c r="C54" s="4" t="s">
        <v>95</v>
      </c>
      <c r="D54" s="3" t="n">
        <v>10.0</v>
      </c>
      <c r="E54" s="4" t="s">
        <v>84</v>
      </c>
      <c r="F54" s="4" t="s">
        <v>85</v>
      </c>
      <c r="G54" s="4" t="s">
        <v>86</v>
      </c>
      <c r="H54" s="5" t="n">
        <f>8119.0</f>
        <v>8119.0</v>
      </c>
    </row>
    <row r="55">
      <c r="A55" s="3" t="s">
        <v>93</v>
      </c>
      <c r="B55" s="4" t="s">
        <v>94</v>
      </c>
      <c r="C55" s="4" t="s">
        <v>95</v>
      </c>
      <c r="D55" s="3" t="n">
        <v>11.0</v>
      </c>
      <c r="E55" s="4" t="s">
        <v>61</v>
      </c>
      <c r="F55" s="4" t="s">
        <v>62</v>
      </c>
      <c r="G55" s="4" t="s">
        <v>63</v>
      </c>
      <c r="H55" s="5" t="n">
        <f>7109.0</f>
        <v>7109.0</v>
      </c>
    </row>
    <row r="56">
      <c r="A56" s="3" t="s">
        <v>93</v>
      </c>
      <c r="B56" s="4" t="s">
        <v>94</v>
      </c>
      <c r="C56" s="4" t="s">
        <v>95</v>
      </c>
      <c r="D56" s="3" t="n">
        <v>12.0</v>
      </c>
      <c r="E56" s="4" t="s">
        <v>37</v>
      </c>
      <c r="F56" s="4" t="s">
        <v>38</v>
      </c>
      <c r="G56" s="4" t="s">
        <v>39</v>
      </c>
      <c r="H56" s="5" t="n">
        <f>5054.0</f>
        <v>5054.0</v>
      </c>
    </row>
    <row r="57">
      <c r="A57" s="3" t="s">
        <v>93</v>
      </c>
      <c r="B57" s="4" t="s">
        <v>94</v>
      </c>
      <c r="C57" s="4" t="s">
        <v>95</v>
      </c>
      <c r="D57" s="3" t="n">
        <v>13.0</v>
      </c>
      <c r="E57" s="4" t="s">
        <v>96</v>
      </c>
      <c r="F57" s="4" t="s">
        <v>97</v>
      </c>
      <c r="G57" s="4" t="s">
        <v>98</v>
      </c>
      <c r="H57" s="5" t="n">
        <f>4303.0</f>
        <v>4303.0</v>
      </c>
    </row>
    <row r="58">
      <c r="A58" s="3" t="s">
        <v>93</v>
      </c>
      <c r="B58" s="4" t="s">
        <v>94</v>
      </c>
      <c r="C58" s="4" t="s">
        <v>95</v>
      </c>
      <c r="D58" s="3" t="n">
        <v>14.0</v>
      </c>
      <c r="E58" s="4" t="s">
        <v>78</v>
      </c>
      <c r="F58" s="4" t="s">
        <v>79</v>
      </c>
      <c r="G58" s="4" t="s">
        <v>80</v>
      </c>
      <c r="H58" s="5" t="n">
        <f>4188.0</f>
        <v>4188.0</v>
      </c>
    </row>
    <row r="59">
      <c r="A59" s="3" t="s">
        <v>93</v>
      </c>
      <c r="B59" s="4" t="s">
        <v>94</v>
      </c>
      <c r="C59" s="4" t="s">
        <v>95</v>
      </c>
      <c r="D59" s="3" t="n">
        <v>15.0</v>
      </c>
      <c r="E59" s="4" t="s">
        <v>49</v>
      </c>
      <c r="F59" s="4" t="s">
        <v>50</v>
      </c>
      <c r="G59" s="4" t="s">
        <v>51</v>
      </c>
      <c r="H59" s="5" t="n">
        <f>3931.0</f>
        <v>3931.0</v>
      </c>
    </row>
    <row r="60">
      <c r="A60" s="3" t="s">
        <v>93</v>
      </c>
      <c r="B60" s="4" t="s">
        <v>94</v>
      </c>
      <c r="C60" s="4" t="s">
        <v>95</v>
      </c>
      <c r="D60" s="3" t="n">
        <v>16.0</v>
      </c>
      <c r="E60" s="4" t="s">
        <v>40</v>
      </c>
      <c r="F60" s="4" t="s">
        <v>41</v>
      </c>
      <c r="G60" s="4" t="s">
        <v>42</v>
      </c>
      <c r="H60" s="5" t="n">
        <f>3585.0</f>
        <v>3585.0</v>
      </c>
    </row>
    <row r="61">
      <c r="A61" s="3" t="s">
        <v>93</v>
      </c>
      <c r="B61" s="4" t="s">
        <v>94</v>
      </c>
      <c r="C61" s="4" t="s">
        <v>95</v>
      </c>
      <c r="D61" s="3" t="n">
        <v>17.0</v>
      </c>
      <c r="E61" s="4" t="s">
        <v>90</v>
      </c>
      <c r="F61" s="4" t="s">
        <v>91</v>
      </c>
      <c r="G61" s="4" t="s">
        <v>92</v>
      </c>
      <c r="H61" s="5" t="n">
        <f>2637.0</f>
        <v>2637.0</v>
      </c>
    </row>
    <row r="62">
      <c r="A62" s="3" t="s">
        <v>93</v>
      </c>
      <c r="B62" s="4" t="s">
        <v>94</v>
      </c>
      <c r="C62" s="4" t="s">
        <v>95</v>
      </c>
      <c r="D62" s="3" t="n">
        <v>18.0</v>
      </c>
      <c r="E62" s="4" t="s">
        <v>22</v>
      </c>
      <c r="F62" s="4" t="s">
        <v>23</v>
      </c>
      <c r="G62" s="4" t="s">
        <v>24</v>
      </c>
      <c r="H62" s="5" t="n">
        <f>2204.0</f>
        <v>2204.0</v>
      </c>
    </row>
    <row r="63">
      <c r="A63" s="3" t="s">
        <v>93</v>
      </c>
      <c r="B63" s="4" t="s">
        <v>94</v>
      </c>
      <c r="C63" s="4" t="s">
        <v>95</v>
      </c>
      <c r="D63" s="3" t="n">
        <v>19.0</v>
      </c>
      <c r="E63" s="4" t="s">
        <v>46</v>
      </c>
      <c r="F63" s="4" t="s">
        <v>47</v>
      </c>
      <c r="G63" s="4" t="s">
        <v>48</v>
      </c>
      <c r="H63" s="5" t="n">
        <f>2123.0</f>
        <v>2123.0</v>
      </c>
    </row>
    <row r="64">
      <c r="A64" s="3" t="s">
        <v>93</v>
      </c>
      <c r="B64" s="4" t="s">
        <v>94</v>
      </c>
      <c r="C64" s="4" t="s">
        <v>95</v>
      </c>
      <c r="D64" s="3" t="n">
        <v>20.0</v>
      </c>
      <c r="E64" s="4" t="s">
        <v>81</v>
      </c>
      <c r="F64" s="4" t="s">
        <v>82</v>
      </c>
      <c r="G64" s="4" t="s">
        <v>83</v>
      </c>
      <c r="H64" s="5" t="n">
        <f>1993.0</f>
        <v>1993.0</v>
      </c>
    </row>
    <row r="65">
      <c r="A65" s="3" t="s">
        <v>93</v>
      </c>
      <c r="B65" s="4" t="s">
        <v>99</v>
      </c>
      <c r="C65" s="4" t="s">
        <v>100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3081.0</f>
        <v>3081.0</v>
      </c>
    </row>
    <row r="66">
      <c r="A66" s="3" t="s">
        <v>93</v>
      </c>
      <c r="B66" s="4" t="s">
        <v>99</v>
      </c>
      <c r="C66" s="4" t="s">
        <v>100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2667.0</f>
        <v>2667.0</v>
      </c>
    </row>
    <row r="67">
      <c r="A67" s="3" t="s">
        <v>93</v>
      </c>
      <c r="B67" s="4" t="s">
        <v>99</v>
      </c>
      <c r="C67" s="4" t="s">
        <v>100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1767.0</f>
        <v>1767.0</v>
      </c>
    </row>
    <row r="68">
      <c r="A68" s="3" t="s">
        <v>93</v>
      </c>
      <c r="B68" s="4" t="s">
        <v>99</v>
      </c>
      <c r="C68" s="4" t="s">
        <v>100</v>
      </c>
      <c r="D68" s="3" t="n">
        <v>4.0</v>
      </c>
      <c r="E68" s="4" t="s">
        <v>58</v>
      </c>
      <c r="F68" s="4" t="s">
        <v>59</v>
      </c>
      <c r="G68" s="4" t="s">
        <v>60</v>
      </c>
      <c r="H68" s="5" t="n">
        <f>193.0</f>
        <v>193.0</v>
      </c>
    </row>
    <row r="69">
      <c r="A69" s="3" t="s">
        <v>93</v>
      </c>
      <c r="B69" s="4" t="s">
        <v>99</v>
      </c>
      <c r="C69" s="4" t="s">
        <v>100</v>
      </c>
      <c r="D69" s="3" t="n">
        <v>5.0</v>
      </c>
      <c r="E69" s="4" t="s">
        <v>78</v>
      </c>
      <c r="F69" s="4" t="s">
        <v>79</v>
      </c>
      <c r="G69" s="4" t="s">
        <v>80</v>
      </c>
      <c r="H69" s="5" t="n">
        <f>177.0</f>
        <v>177.0</v>
      </c>
    </row>
    <row r="70">
      <c r="A70" s="3" t="s">
        <v>93</v>
      </c>
      <c r="B70" s="4" t="s">
        <v>99</v>
      </c>
      <c r="C70" s="4" t="s">
        <v>100</v>
      </c>
      <c r="D70" s="3" t="n">
        <v>6.0</v>
      </c>
      <c r="E70" s="4" t="s">
        <v>81</v>
      </c>
      <c r="F70" s="4" t="s">
        <v>82</v>
      </c>
      <c r="G70" s="4" t="s">
        <v>83</v>
      </c>
      <c r="H70" s="5" t="n">
        <f>149.0</f>
        <v>149.0</v>
      </c>
    </row>
    <row r="71">
      <c r="A71" s="3" t="s">
        <v>93</v>
      </c>
      <c r="B71" s="4" t="s">
        <v>99</v>
      </c>
      <c r="C71" s="4" t="s">
        <v>100</v>
      </c>
      <c r="D71" s="3" t="n">
        <v>7.0</v>
      </c>
      <c r="E71" s="4" t="s">
        <v>28</v>
      </c>
      <c r="F71" s="4" t="s">
        <v>29</v>
      </c>
      <c r="G71" s="4" t="s">
        <v>30</v>
      </c>
      <c r="H71" s="5" t="n">
        <f>107.0</f>
        <v>107.0</v>
      </c>
    </row>
    <row r="72">
      <c r="A72" s="3" t="s">
        <v>93</v>
      </c>
      <c r="B72" s="4" t="s">
        <v>99</v>
      </c>
      <c r="C72" s="4" t="s">
        <v>100</v>
      </c>
      <c r="D72" s="3" t="n">
        <v>8.0</v>
      </c>
      <c r="E72" s="4" t="s">
        <v>55</v>
      </c>
      <c r="F72" s="4" t="s">
        <v>56</v>
      </c>
      <c r="G72" s="4" t="s">
        <v>57</v>
      </c>
      <c r="H72" s="5" t="n">
        <f>104.0</f>
        <v>104.0</v>
      </c>
    </row>
    <row r="73">
      <c r="A73" s="3" t="s">
        <v>93</v>
      </c>
      <c r="B73" s="4" t="s">
        <v>99</v>
      </c>
      <c r="C73" s="4" t="s">
        <v>100</v>
      </c>
      <c r="D73" s="3" t="n">
        <v>9.0</v>
      </c>
      <c r="E73" s="4" t="s">
        <v>84</v>
      </c>
      <c r="F73" s="4" t="s">
        <v>85</v>
      </c>
      <c r="G73" s="4" t="s">
        <v>86</v>
      </c>
      <c r="H73" s="5" t="n">
        <f>77.0</f>
        <v>77.0</v>
      </c>
    </row>
    <row r="74">
      <c r="A74" s="3" t="s">
        <v>93</v>
      </c>
      <c r="B74" s="4" t="s">
        <v>99</v>
      </c>
      <c r="C74" s="4" t="s">
        <v>100</v>
      </c>
      <c r="D74" s="3" t="n">
        <v>10.0</v>
      </c>
      <c r="E74" s="4" t="s">
        <v>34</v>
      </c>
      <c r="F74" s="4" t="s">
        <v>35</v>
      </c>
      <c r="G74" s="4" t="s">
        <v>36</v>
      </c>
      <c r="H74" s="5" t="n">
        <f>34.0</f>
        <v>34.0</v>
      </c>
    </row>
    <row r="75">
      <c r="A75" s="3" t="s">
        <v>93</v>
      </c>
      <c r="B75" s="4" t="s">
        <v>99</v>
      </c>
      <c r="C75" s="4" t="s">
        <v>100</v>
      </c>
      <c r="D75" s="3" t="n">
        <v>11.0</v>
      </c>
      <c r="E75" s="4" t="s">
        <v>31</v>
      </c>
      <c r="F75" s="4" t="s">
        <v>32</v>
      </c>
      <c r="G75" s="4" t="s">
        <v>33</v>
      </c>
      <c r="H75" s="5" t="n">
        <f>10.0</f>
        <v>10.0</v>
      </c>
    </row>
    <row r="76">
      <c r="A76" s="3" t="s">
        <v>93</v>
      </c>
      <c r="B76" s="4" t="s">
        <v>99</v>
      </c>
      <c r="C76" s="4" t="s">
        <v>100</v>
      </c>
      <c r="D76" s="3" t="n">
        <v>12.0</v>
      </c>
      <c r="E76" s="4" t="s">
        <v>52</v>
      </c>
      <c r="F76" s="4" t="s">
        <v>53</v>
      </c>
      <c r="G76" s="4" t="s">
        <v>54</v>
      </c>
      <c r="H76" s="5" t="n">
        <f>8.0</f>
        <v>8.0</v>
      </c>
    </row>
    <row r="77">
      <c r="A77" s="3" t="s">
        <v>93</v>
      </c>
      <c r="B77" s="4" t="s">
        <v>101</v>
      </c>
      <c r="C77" s="4" t="s">
        <v>102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55.0</f>
        <v>55.0</v>
      </c>
    </row>
    <row r="78">
      <c r="A78" s="3" t="s">
        <v>93</v>
      </c>
      <c r="B78" s="4" t="s">
        <v>101</v>
      </c>
      <c r="C78" s="4" t="s">
        <v>102</v>
      </c>
      <c r="D78" s="3" t="n">
        <v>2.0</v>
      </c>
      <c r="E78" s="4" t="s">
        <v>16</v>
      </c>
      <c r="F78" s="4" t="s">
        <v>17</v>
      </c>
      <c r="G78" s="4" t="s">
        <v>18</v>
      </c>
      <c r="H78" s="5" t="n">
        <f>39.0</f>
        <v>39.0</v>
      </c>
    </row>
    <row r="79">
      <c r="A79" s="3" t="s">
        <v>93</v>
      </c>
      <c r="B79" s="4" t="s">
        <v>101</v>
      </c>
      <c r="C79" s="4" t="s">
        <v>102</v>
      </c>
      <c r="D79" s="3" t="n">
        <v>3.0</v>
      </c>
      <c r="E79" s="4" t="s">
        <v>28</v>
      </c>
      <c r="F79" s="4" t="s">
        <v>29</v>
      </c>
      <c r="G79" s="4" t="s">
        <v>30</v>
      </c>
      <c r="H79" s="5" t="n">
        <f>9.0</f>
        <v>9.0</v>
      </c>
    </row>
    <row r="80">
      <c r="A80" s="3" t="s">
        <v>93</v>
      </c>
      <c r="B80" s="4" t="s">
        <v>101</v>
      </c>
      <c r="C80" s="4" t="s">
        <v>102</v>
      </c>
      <c r="D80" s="3" t="n">
        <v>3.0</v>
      </c>
      <c r="E80" s="4" t="s">
        <v>81</v>
      </c>
      <c r="F80" s="4" t="s">
        <v>82</v>
      </c>
      <c r="G80" s="4" t="s">
        <v>83</v>
      </c>
      <c r="H80" s="5" t="n">
        <f>9.0</f>
        <v>9.0</v>
      </c>
    </row>
    <row r="81">
      <c r="A81" s="3" t="s">
        <v>93</v>
      </c>
      <c r="B81" s="4" t="s">
        <v>101</v>
      </c>
      <c r="C81" s="4" t="s">
        <v>102</v>
      </c>
      <c r="D81" s="3" t="n">
        <v>5.0</v>
      </c>
      <c r="E81" s="4" t="s">
        <v>58</v>
      </c>
      <c r="F81" s="4" t="s">
        <v>59</v>
      </c>
      <c r="G81" s="4" t="s">
        <v>60</v>
      </c>
      <c r="H81" s="5" t="n">
        <f>5.0</f>
        <v>5.0</v>
      </c>
    </row>
    <row r="82">
      <c r="A82" s="3" t="s">
        <v>93</v>
      </c>
      <c r="B82" s="4" t="s">
        <v>101</v>
      </c>
      <c r="C82" s="4" t="s">
        <v>102</v>
      </c>
      <c r="D82" s="3" t="n">
        <v>6.0</v>
      </c>
      <c r="E82" s="4" t="s">
        <v>84</v>
      </c>
      <c r="F82" s="4" t="s">
        <v>85</v>
      </c>
      <c r="G82" s="4" t="s">
        <v>86</v>
      </c>
      <c r="H82" s="5" t="n">
        <f>1.0</f>
        <v>1.0</v>
      </c>
    </row>
    <row r="83">
      <c r="A83" s="3" t="s">
        <v>93</v>
      </c>
      <c r="B83" s="4" t="s">
        <v>101</v>
      </c>
      <c r="C83" s="4" t="s">
        <v>102</v>
      </c>
      <c r="D83" s="3" t="n">
        <v>6.0</v>
      </c>
      <c r="E83" s="4" t="s">
        <v>34</v>
      </c>
      <c r="F83" s="4" t="s">
        <v>35</v>
      </c>
      <c r="G83" s="4" t="s">
        <v>36</v>
      </c>
      <c r="H83" s="5" t="n">
        <f>1.0</f>
        <v>1.0</v>
      </c>
    </row>
    <row r="84">
      <c r="A84" s="3" t="s">
        <v>93</v>
      </c>
      <c r="B84" s="4" t="s">
        <v>101</v>
      </c>
      <c r="C84" s="4" t="s">
        <v>102</v>
      </c>
      <c r="D84" s="3" t="n">
        <v>6.0</v>
      </c>
      <c r="E84" s="4" t="s">
        <v>78</v>
      </c>
      <c r="F84" s="4" t="s">
        <v>79</v>
      </c>
      <c r="G84" s="4" t="s">
        <v>80</v>
      </c>
      <c r="H84" s="5" t="n">
        <f>1.0</f>
        <v>1.0</v>
      </c>
    </row>
    <row r="85">
      <c r="A85" s="3" t="s">
        <v>93</v>
      </c>
      <c r="B85" s="4" t="s">
        <v>101</v>
      </c>
      <c r="C85" s="4" t="s">
        <v>102</v>
      </c>
      <c r="D85" s="3" t="n">
        <v>6.0</v>
      </c>
      <c r="E85" s="4" t="s">
        <v>55</v>
      </c>
      <c r="F85" s="4" t="s">
        <v>56</v>
      </c>
      <c r="G85" s="4" t="s">
        <v>57</v>
      </c>
      <c r="H85" s="5" t="n">
        <f>1.0</f>
        <v>1.0</v>
      </c>
    </row>
    <row r="86">
      <c r="A86" s="3" t="s">
        <v>93</v>
      </c>
      <c r="B86" s="4" t="s">
        <v>101</v>
      </c>
      <c r="C86" s="4" t="s">
        <v>102</v>
      </c>
      <c r="D86" s="3" t="n">
        <v>6.0</v>
      </c>
      <c r="E86" s="4" t="s">
        <v>90</v>
      </c>
      <c r="F86" s="4" t="s">
        <v>91</v>
      </c>
      <c r="G86" s="4" t="s">
        <v>92</v>
      </c>
      <c r="H86" s="5" t="n">
        <f>1.0</f>
        <v>1.0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16963.0</f>
        <v>16963.0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15876.0</f>
        <v>15876.0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11178.0</f>
        <v>11178.0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34</v>
      </c>
      <c r="F90" s="4" t="s">
        <v>35</v>
      </c>
      <c r="G90" s="4" t="s">
        <v>36</v>
      </c>
      <c r="H90" s="5" t="n">
        <f>5048.0</f>
        <v>5048.0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37</v>
      </c>
      <c r="F91" s="4" t="s">
        <v>38</v>
      </c>
      <c r="G91" s="4" t="s">
        <v>39</v>
      </c>
      <c r="H91" s="5" t="n">
        <f>3843.0</f>
        <v>3843.0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61</v>
      </c>
      <c r="F92" s="4" t="s">
        <v>62</v>
      </c>
      <c r="G92" s="4" t="s">
        <v>63</v>
      </c>
      <c r="H92" s="5" t="n">
        <f>2358.0</f>
        <v>2358.0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40</v>
      </c>
      <c r="F93" s="4" t="s">
        <v>41</v>
      </c>
      <c r="G93" s="4" t="s">
        <v>42</v>
      </c>
      <c r="H93" s="5" t="n">
        <f>2319.0</f>
        <v>2319.0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25</v>
      </c>
      <c r="F94" s="4" t="s">
        <v>26</v>
      </c>
      <c r="G94" s="4" t="s">
        <v>27</v>
      </c>
      <c r="H94" s="5" t="n">
        <f>1702.0</f>
        <v>1702.0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31</v>
      </c>
      <c r="F95" s="4" t="s">
        <v>32</v>
      </c>
      <c r="G95" s="4" t="s">
        <v>33</v>
      </c>
      <c r="H95" s="5" t="n">
        <f>1323.0</f>
        <v>1323.0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46</v>
      </c>
      <c r="F96" s="4" t="s">
        <v>47</v>
      </c>
      <c r="G96" s="4" t="s">
        <v>48</v>
      </c>
      <c r="H96" s="5" t="n">
        <f>1275.0</f>
        <v>1275.0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49</v>
      </c>
      <c r="F97" s="4" t="s">
        <v>50</v>
      </c>
      <c r="G97" s="4" t="s">
        <v>51</v>
      </c>
      <c r="H97" s="5" t="n">
        <f>955.0</f>
        <v>955.0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28</v>
      </c>
      <c r="F98" s="4" t="s">
        <v>29</v>
      </c>
      <c r="G98" s="4" t="s">
        <v>30</v>
      </c>
      <c r="H98" s="5" t="n">
        <f>831.0</f>
        <v>831.0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64</v>
      </c>
      <c r="F99" s="4" t="s">
        <v>65</v>
      </c>
      <c r="G99" s="4" t="s">
        <v>66</v>
      </c>
      <c r="H99" s="5" t="n">
        <f>830.0</f>
        <v>830.0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106</v>
      </c>
      <c r="F100" s="4" t="s">
        <v>107</v>
      </c>
      <c r="G100" s="4" t="s">
        <v>108</v>
      </c>
      <c r="H100" s="5" t="n">
        <f>692.0</f>
        <v>692.0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52</v>
      </c>
      <c r="F101" s="4" t="s">
        <v>53</v>
      </c>
      <c r="G101" s="4" t="s">
        <v>54</v>
      </c>
      <c r="H101" s="5" t="n">
        <f>608.0</f>
        <v>608.0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22</v>
      </c>
      <c r="F102" s="4" t="s">
        <v>23</v>
      </c>
      <c r="G102" s="4" t="s">
        <v>24</v>
      </c>
      <c r="H102" s="5" t="n">
        <f>580.0</f>
        <v>580.0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96</v>
      </c>
      <c r="F103" s="4" t="s">
        <v>97</v>
      </c>
      <c r="G103" s="4" t="s">
        <v>98</v>
      </c>
      <c r="H103" s="5" t="n">
        <f>572.0</f>
        <v>572.0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43</v>
      </c>
      <c r="F104" s="4" t="s">
        <v>44</v>
      </c>
      <c r="G104" s="4" t="s">
        <v>45</v>
      </c>
      <c r="H104" s="5" t="n">
        <f>555.0</f>
        <v>555.0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70</v>
      </c>
      <c r="F105" s="4" t="s">
        <v>71</v>
      </c>
      <c r="G105" s="4" t="s">
        <v>72</v>
      </c>
      <c r="H105" s="5" t="n">
        <f>476.0</f>
        <v>476.0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109</v>
      </c>
      <c r="F106" s="4" t="s">
        <v>110</v>
      </c>
      <c r="G106" s="4" t="s">
        <v>111</v>
      </c>
      <c r="H106" s="5" t="n">
        <f>359.0</f>
        <v>359.0</v>
      </c>
    </row>
    <row r="107">
      <c r="A107" s="3" t="s">
        <v>103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22.0</f>
        <v>22.0</v>
      </c>
    </row>
    <row r="108">
      <c r="A108" s="3" t="s">
        <v>103</v>
      </c>
      <c r="B108" s="4" t="s">
        <v>112</v>
      </c>
      <c r="C108" s="4" t="s">
        <v>113</v>
      </c>
      <c r="D108" s="3" t="n">
        <v>2.0</v>
      </c>
      <c r="E108" s="4" t="s">
        <v>52</v>
      </c>
      <c r="F108" s="4" t="s">
        <v>53</v>
      </c>
      <c r="G108" s="4" t="s">
        <v>54</v>
      </c>
      <c r="H108" s="5" t="n">
        <f>2.0</f>
        <v>2.0</v>
      </c>
    </row>
    <row r="109">
      <c r="A109" s="3" t="s">
        <v>103</v>
      </c>
      <c r="B109" s="4" t="s">
        <v>112</v>
      </c>
      <c r="C109" s="4" t="s">
        <v>113</v>
      </c>
      <c r="D109" s="3" t="n">
        <v>2.0</v>
      </c>
      <c r="E109" s="4" t="s">
        <v>90</v>
      </c>
      <c r="F109" s="4" t="s">
        <v>91</v>
      </c>
      <c r="G109" s="4" t="s">
        <v>92</v>
      </c>
      <c r="H109" s="5" t="n">
        <f>2.0</f>
        <v>2.0</v>
      </c>
    </row>
    <row r="110">
      <c r="A110" s="3" t="s">
        <v>114</v>
      </c>
      <c r="B110" s="4" t="s">
        <v>115</v>
      </c>
      <c r="C110" s="4" t="s">
        <v>116</v>
      </c>
      <c r="D110" s="3" t="n">
        <v>1.0</v>
      </c>
      <c r="E110" s="4" t="s">
        <v>16</v>
      </c>
      <c r="F110" s="4" t="s">
        <v>17</v>
      </c>
      <c r="G110" s="4" t="s">
        <v>18</v>
      </c>
      <c r="H110" s="5" t="n">
        <f>11.0</f>
        <v>11.0</v>
      </c>
    </row>
    <row r="111">
      <c r="A111" s="3" t="s">
        <v>114</v>
      </c>
      <c r="B111" s="4" t="s">
        <v>115</v>
      </c>
      <c r="C111" s="4" t="s">
        <v>116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11.0</f>
        <v>11.0</v>
      </c>
    </row>
    <row r="112">
      <c r="A112" s="3" t="s">
        <v>114</v>
      </c>
      <c r="B112" s="4" t="s">
        <v>115</v>
      </c>
      <c r="C112" s="4" t="s">
        <v>116</v>
      </c>
      <c r="D112" s="3" t="n">
        <v>3.0</v>
      </c>
      <c r="E112" s="4" t="s">
        <v>37</v>
      </c>
      <c r="F112" s="4" t="s">
        <v>38</v>
      </c>
      <c r="G112" s="4" t="s">
        <v>39</v>
      </c>
      <c r="H112" s="5" t="n">
        <f>10.0</f>
        <v>10.0</v>
      </c>
    </row>
    <row r="113">
      <c r="A113" s="3" t="s">
        <v>114</v>
      </c>
      <c r="B113" s="4" t="s">
        <v>115</v>
      </c>
      <c r="C113" s="4" t="s">
        <v>116</v>
      </c>
      <c r="D113" s="3" t="n">
        <v>4.0</v>
      </c>
      <c r="E113" s="4" t="s">
        <v>49</v>
      </c>
      <c r="F113" s="4" t="s">
        <v>50</v>
      </c>
      <c r="G113" s="4" t="s">
        <v>51</v>
      </c>
      <c r="H113" s="5" t="n">
        <f>3.0</f>
        <v>3.0</v>
      </c>
    </row>
    <row r="114">
      <c r="A114" s="3" t="s">
        <v>114</v>
      </c>
      <c r="B114" s="4" t="s">
        <v>115</v>
      </c>
      <c r="C114" s="4" t="s">
        <v>116</v>
      </c>
      <c r="D114" s="3" t="n">
        <v>5.0</v>
      </c>
      <c r="E114" s="4" t="s">
        <v>58</v>
      </c>
      <c r="F114" s="4" t="s">
        <v>59</v>
      </c>
      <c r="G114" s="4" t="s">
        <v>60</v>
      </c>
      <c r="H114" s="5" t="n">
        <f>2.0</f>
        <v>2.0</v>
      </c>
    </row>
    <row r="115">
      <c r="A115" s="3" t="s">
        <v>114</v>
      </c>
      <c r="B115" s="4" t="s">
        <v>115</v>
      </c>
      <c r="C115" s="4" t="s">
        <v>116</v>
      </c>
      <c r="D115" s="3" t="n">
        <v>6.0</v>
      </c>
      <c r="E115" s="4" t="s">
        <v>84</v>
      </c>
      <c r="F115" s="4" t="s">
        <v>85</v>
      </c>
      <c r="G115" s="4" t="s">
        <v>86</v>
      </c>
      <c r="H115" s="5" t="n">
        <f>1.0</f>
        <v>1.0</v>
      </c>
    </row>
    <row r="116">
      <c r="A116" s="3" t="s">
        <v>114</v>
      </c>
      <c r="B116" s="4" t="s">
        <v>117</v>
      </c>
      <c r="C116" s="4" t="s">
        <v>118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4.0</f>
        <v>4.0</v>
      </c>
    </row>
    <row r="117">
      <c r="A117" s="3" t="s">
        <v>114</v>
      </c>
      <c r="B117" s="4" t="s">
        <v>119</v>
      </c>
      <c r="C117" s="4" t="s">
        <v>120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4.0</f>
        <v>4.0</v>
      </c>
    </row>
    <row r="118">
      <c r="A118" s="3" t="s">
        <v>114</v>
      </c>
      <c r="B118" s="4" t="s">
        <v>121</v>
      </c>
      <c r="C118" s="4" t="s">
        <v>122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2.0</f>
        <v>2.0</v>
      </c>
    </row>
    <row r="119">
      <c r="A119" s="3" t="s">
        <v>114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88.0</f>
        <v>88.0</v>
      </c>
    </row>
    <row r="120">
      <c r="A120" s="3" t="s">
        <v>114</v>
      </c>
      <c r="B120" s="4" t="s">
        <v>123</v>
      </c>
      <c r="C120" s="4" t="s">
        <v>124</v>
      </c>
      <c r="D120" s="3" t="n">
        <v>2.0</v>
      </c>
      <c r="E120" s="4" t="s">
        <v>37</v>
      </c>
      <c r="F120" s="4" t="s">
        <v>38</v>
      </c>
      <c r="G120" s="4" t="s">
        <v>39</v>
      </c>
      <c r="H120" s="5" t="n">
        <f>40.0</f>
        <v>40.0</v>
      </c>
    </row>
    <row r="121">
      <c r="A121" s="3" t="s">
        <v>114</v>
      </c>
      <c r="B121" s="4" t="s">
        <v>123</v>
      </c>
      <c r="C121" s="4" t="s">
        <v>124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27.0</f>
        <v>27.0</v>
      </c>
    </row>
    <row r="122">
      <c r="A122" s="3" t="s">
        <v>114</v>
      </c>
      <c r="B122" s="4" t="s">
        <v>123</v>
      </c>
      <c r="C122" s="4" t="s">
        <v>124</v>
      </c>
      <c r="D122" s="3" t="n">
        <v>4.0</v>
      </c>
      <c r="E122" s="4" t="s">
        <v>55</v>
      </c>
      <c r="F122" s="4" t="s">
        <v>56</v>
      </c>
      <c r="G122" s="4" t="s">
        <v>57</v>
      </c>
      <c r="H122" s="5" t="n">
        <f>20.0</f>
        <v>20.0</v>
      </c>
    </row>
    <row r="123">
      <c r="A123" s="3" t="s">
        <v>114</v>
      </c>
      <c r="B123" s="4" t="s">
        <v>123</v>
      </c>
      <c r="C123" s="4" t="s">
        <v>124</v>
      </c>
      <c r="D123" s="3" t="n">
        <v>5.0</v>
      </c>
      <c r="E123" s="4" t="s">
        <v>43</v>
      </c>
      <c r="F123" s="4" t="s">
        <v>44</v>
      </c>
      <c r="G123" s="4" t="s">
        <v>45</v>
      </c>
      <c r="H123" s="5" t="n">
        <f>10.0</f>
        <v>10.0</v>
      </c>
    </row>
    <row r="124">
      <c r="A124" s="3" t="s">
        <v>114</v>
      </c>
      <c r="B124" s="4" t="s">
        <v>123</v>
      </c>
      <c r="C124" s="4" t="s">
        <v>124</v>
      </c>
      <c r="D124" s="3" t="n">
        <v>6.0</v>
      </c>
      <c r="E124" s="4" t="s">
        <v>58</v>
      </c>
      <c r="F124" s="4" t="s">
        <v>59</v>
      </c>
      <c r="G124" s="4" t="s">
        <v>60</v>
      </c>
      <c r="H124" s="5" t="n">
        <f>7.0</f>
        <v>7.0</v>
      </c>
    </row>
    <row r="125">
      <c r="A125" s="3" t="s">
        <v>114</v>
      </c>
      <c r="B125" s="4" t="s">
        <v>123</v>
      </c>
      <c r="C125" s="4" t="s">
        <v>124</v>
      </c>
      <c r="D125" s="3" t="n">
        <v>7.0</v>
      </c>
      <c r="E125" s="4" t="s">
        <v>34</v>
      </c>
      <c r="F125" s="4" t="s">
        <v>35</v>
      </c>
      <c r="G125" s="4" t="s">
        <v>36</v>
      </c>
      <c r="H125" s="5" t="n">
        <f>4.0</f>
        <v>4.0</v>
      </c>
    </row>
    <row r="126">
      <c r="A126" s="3" t="s">
        <v>114</v>
      </c>
      <c r="B126" s="4" t="s">
        <v>123</v>
      </c>
      <c r="C126" s="4" t="s">
        <v>124</v>
      </c>
      <c r="D126" s="3" t="n">
        <v>8.0</v>
      </c>
      <c r="E126" s="4" t="s">
        <v>49</v>
      </c>
      <c r="F126" s="4" t="s">
        <v>50</v>
      </c>
      <c r="G126" s="4" t="s">
        <v>51</v>
      </c>
      <c r="H126" s="5" t="n">
        <f>3.0</f>
        <v>3.0</v>
      </c>
    </row>
    <row r="127">
      <c r="A127" s="3" t="s">
        <v>114</v>
      </c>
      <c r="B127" s="4" t="s">
        <v>123</v>
      </c>
      <c r="C127" s="4" t="s">
        <v>124</v>
      </c>
      <c r="D127" s="3" t="n">
        <v>8.0</v>
      </c>
      <c r="E127" s="4" t="s">
        <v>61</v>
      </c>
      <c r="F127" s="4" t="s">
        <v>62</v>
      </c>
      <c r="G127" s="4" t="s">
        <v>63</v>
      </c>
      <c r="H127" s="5" t="n">
        <f>3.0</f>
        <v>3.0</v>
      </c>
    </row>
    <row r="128">
      <c r="A128" s="3" t="s">
        <v>114</v>
      </c>
      <c r="B128" s="4" t="s">
        <v>123</v>
      </c>
      <c r="C128" s="4" t="s">
        <v>124</v>
      </c>
      <c r="D128" s="3" t="n">
        <v>10.0</v>
      </c>
      <c r="E128" s="4" t="s">
        <v>84</v>
      </c>
      <c r="F128" s="4" t="s">
        <v>85</v>
      </c>
      <c r="G128" s="4" t="s">
        <v>86</v>
      </c>
      <c r="H128" s="5" t="n">
        <f>2.0</f>
        <v>2.0</v>
      </c>
    </row>
    <row r="129">
      <c r="A129" s="3" t="s">
        <v>114</v>
      </c>
      <c r="B129" s="4" t="s">
        <v>123</v>
      </c>
      <c r="C129" s="4" t="s">
        <v>124</v>
      </c>
      <c r="D129" s="3" t="n">
        <v>11.0</v>
      </c>
      <c r="E129" s="4" t="s">
        <v>28</v>
      </c>
      <c r="F129" s="4" t="s">
        <v>29</v>
      </c>
      <c r="G129" s="4" t="s">
        <v>30</v>
      </c>
      <c r="H129" s="5" t="n">
        <f>1.0</f>
        <v>1.0</v>
      </c>
    </row>
    <row r="130">
      <c r="A130" s="3" t="s">
        <v>114</v>
      </c>
      <c r="B130" s="4" t="s">
        <v>123</v>
      </c>
      <c r="C130" s="4" t="s">
        <v>124</v>
      </c>
      <c r="D130" s="3" t="n">
        <v>11.0</v>
      </c>
      <c r="E130" s="4" t="s">
        <v>81</v>
      </c>
      <c r="F130" s="4" t="s">
        <v>82</v>
      </c>
      <c r="G130" s="4" t="s">
        <v>83</v>
      </c>
      <c r="H130" s="5" t="n">
        <f>1.0</f>
        <v>1.0</v>
      </c>
    </row>
    <row r="131">
      <c r="A131" s="3" t="s">
        <v>114</v>
      </c>
      <c r="B131" s="4" t="s">
        <v>125</v>
      </c>
      <c r="C131" s="4" t="s">
        <v>126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12.0</f>
        <v>12.0</v>
      </c>
    </row>
    <row r="132">
      <c r="A132" s="3" t="s">
        <v>114</v>
      </c>
      <c r="B132" s="4" t="s">
        <v>125</v>
      </c>
      <c r="C132" s="4" t="s">
        <v>126</v>
      </c>
      <c r="D132" s="3" t="n">
        <v>2.0</v>
      </c>
      <c r="E132" s="4" t="s">
        <v>40</v>
      </c>
      <c r="F132" s="4" t="s">
        <v>41</v>
      </c>
      <c r="G132" s="4" t="s">
        <v>42</v>
      </c>
      <c r="H132" s="5" t="n">
        <f>6.0</f>
        <v>6.0</v>
      </c>
    </row>
    <row r="133">
      <c r="A133" s="3" t="s">
        <v>114</v>
      </c>
      <c r="B133" s="4" t="s">
        <v>127</v>
      </c>
      <c r="C133" s="4" t="s">
        <v>128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8.0</f>
        <v>8.0</v>
      </c>
    </row>
    <row r="134">
      <c r="A134" s="3" t="s">
        <v>114</v>
      </c>
      <c r="B134" s="4" t="s">
        <v>129</v>
      </c>
      <c r="C134" s="4" t="s">
        <v>130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56.0</f>
        <v>56.0</v>
      </c>
    </row>
    <row r="135">
      <c r="A135" s="3" t="s">
        <v>114</v>
      </c>
      <c r="B135" s="4" t="s">
        <v>129</v>
      </c>
      <c r="C135" s="4" t="s">
        <v>130</v>
      </c>
      <c r="D135" s="3" t="n">
        <v>2.0</v>
      </c>
      <c r="E135" s="4" t="s">
        <v>34</v>
      </c>
      <c r="F135" s="4" t="s">
        <v>35</v>
      </c>
      <c r="G135" s="4" t="s">
        <v>36</v>
      </c>
      <c r="H135" s="5" t="n">
        <f>41.0</f>
        <v>41.0</v>
      </c>
    </row>
    <row r="136">
      <c r="A136" s="3" t="s">
        <v>114</v>
      </c>
      <c r="B136" s="4" t="s">
        <v>129</v>
      </c>
      <c r="C136" s="4" t="s">
        <v>130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8.0</f>
        <v>8.0</v>
      </c>
    </row>
    <row r="137">
      <c r="A137" s="3" t="s">
        <v>114</v>
      </c>
      <c r="B137" s="4" t="s">
        <v>129</v>
      </c>
      <c r="C137" s="4" t="s">
        <v>130</v>
      </c>
      <c r="D137" s="3" t="n">
        <v>4.0</v>
      </c>
      <c r="E137" s="4" t="s">
        <v>49</v>
      </c>
      <c r="F137" s="4" t="s">
        <v>50</v>
      </c>
      <c r="G137" s="4" t="s">
        <v>51</v>
      </c>
      <c r="H137" s="5" t="n">
        <f>4.0</f>
        <v>4.0</v>
      </c>
    </row>
    <row r="138">
      <c r="A138" s="3" t="s">
        <v>114</v>
      </c>
      <c r="B138" s="4" t="s">
        <v>129</v>
      </c>
      <c r="C138" s="4" t="s">
        <v>130</v>
      </c>
      <c r="D138" s="3" t="n">
        <v>5.0</v>
      </c>
      <c r="E138" s="4" t="s">
        <v>28</v>
      </c>
      <c r="F138" s="4" t="s">
        <v>29</v>
      </c>
      <c r="G138" s="4" t="s">
        <v>30</v>
      </c>
      <c r="H138" s="5" t="n">
        <f>2.0</f>
        <v>2.0</v>
      </c>
    </row>
    <row r="139">
      <c r="A139" s="3" t="s">
        <v>114</v>
      </c>
      <c r="B139" s="4" t="s">
        <v>129</v>
      </c>
      <c r="C139" s="4" t="s">
        <v>130</v>
      </c>
      <c r="D139" s="3" t="n">
        <v>6.0</v>
      </c>
      <c r="E139" s="4" t="s">
        <v>55</v>
      </c>
      <c r="F139" s="4" t="s">
        <v>56</v>
      </c>
      <c r="G139" s="4" t="s">
        <v>57</v>
      </c>
      <c r="H139" s="5" t="n">
        <f>1.0</f>
        <v>1.0</v>
      </c>
    </row>
    <row r="140">
      <c r="A140" s="3" t="s">
        <v>114</v>
      </c>
      <c r="B140" s="4" t="s">
        <v>131</v>
      </c>
      <c r="C140" s="4" t="s">
        <v>132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12.0</f>
        <v>12.0</v>
      </c>
    </row>
    <row r="141">
      <c r="A141" s="3" t="s">
        <v>114</v>
      </c>
      <c r="B141" s="4" t="s">
        <v>131</v>
      </c>
      <c r="C141" s="4" t="s">
        <v>132</v>
      </c>
      <c r="D141" s="3" t="n">
        <v>2.0</v>
      </c>
      <c r="E141" s="4" t="s">
        <v>16</v>
      </c>
      <c r="F141" s="4" t="s">
        <v>17</v>
      </c>
      <c r="G141" s="4" t="s">
        <v>18</v>
      </c>
      <c r="H141" s="5" t="n">
        <f>2.0</f>
        <v>2.0</v>
      </c>
    </row>
    <row r="142">
      <c r="A142" s="3" t="s">
        <v>114</v>
      </c>
      <c r="B142" s="4" t="s">
        <v>133</v>
      </c>
      <c r="C142" s="4" t="s">
        <v>134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12.0</f>
        <v>12.0</v>
      </c>
    </row>
    <row r="143">
      <c r="A143" s="3" t="s">
        <v>114</v>
      </c>
      <c r="B143" s="4" t="s">
        <v>135</v>
      </c>
      <c r="C143" s="4" t="s">
        <v>136</v>
      </c>
      <c r="D143" s="3" t="n">
        <v>1.0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114</v>
      </c>
      <c r="B144" s="4" t="s">
        <v>135</v>
      </c>
      <c r="C144" s="4" t="s">
        <v>136</v>
      </c>
      <c r="D144" s="3" t="n">
        <v>1.0</v>
      </c>
      <c r="E144" s="4" t="s">
        <v>55</v>
      </c>
      <c r="F144" s="4" t="s">
        <v>56</v>
      </c>
      <c r="G144" s="4" t="s">
        <v>57</v>
      </c>
      <c r="H144" s="5" t="n">
        <f>1.0</f>
        <v>1.0</v>
      </c>
    </row>
    <row r="145">
      <c r="A145" s="3" t="s">
        <v>114</v>
      </c>
      <c r="B145" s="4" t="s">
        <v>137</v>
      </c>
      <c r="C145" s="4" t="s">
        <v>138</v>
      </c>
      <c r="D145" s="3" t="n">
        <v>1.0</v>
      </c>
      <c r="E145" s="4" t="s">
        <v>58</v>
      </c>
      <c r="F145" s="4" t="s">
        <v>59</v>
      </c>
      <c r="G145" s="4" t="s">
        <v>60</v>
      </c>
      <c r="H145" s="5" t="n">
        <f>1.0</f>
        <v>1.0</v>
      </c>
    </row>
    <row r="146">
      <c r="A146" s="3" t="s">
        <v>114</v>
      </c>
      <c r="B146" s="4" t="s">
        <v>137</v>
      </c>
      <c r="C146" s="4" t="s">
        <v>138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1.0</f>
        <v>1.0</v>
      </c>
    </row>
    <row r="147">
      <c r="A147" s="3" t="s">
        <v>114</v>
      </c>
      <c r="B147" s="4" t="s">
        <v>139</v>
      </c>
      <c r="C147" s="4" t="s">
        <v>140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76.0</f>
        <v>76.0</v>
      </c>
    </row>
    <row r="148">
      <c r="A148" s="3" t="s">
        <v>114</v>
      </c>
      <c r="B148" s="4" t="s">
        <v>139</v>
      </c>
      <c r="C148" s="4" t="s">
        <v>140</v>
      </c>
      <c r="D148" s="3" t="n">
        <v>2.0</v>
      </c>
      <c r="E148" s="4" t="s">
        <v>34</v>
      </c>
      <c r="F148" s="4" t="s">
        <v>35</v>
      </c>
      <c r="G148" s="4" t="s">
        <v>36</v>
      </c>
      <c r="H148" s="5" t="n">
        <f>39.0</f>
        <v>39.0</v>
      </c>
    </row>
    <row r="149">
      <c r="A149" s="3" t="s">
        <v>114</v>
      </c>
      <c r="B149" s="4" t="s">
        <v>139</v>
      </c>
      <c r="C149" s="4" t="s">
        <v>140</v>
      </c>
      <c r="D149" s="3" t="n">
        <v>3.0</v>
      </c>
      <c r="E149" s="4" t="s">
        <v>16</v>
      </c>
      <c r="F149" s="4" t="s">
        <v>17</v>
      </c>
      <c r="G149" s="4" t="s">
        <v>18</v>
      </c>
      <c r="H149" s="5" t="n">
        <f>30.0</f>
        <v>30.0</v>
      </c>
    </row>
    <row r="150">
      <c r="A150" s="3" t="s">
        <v>114</v>
      </c>
      <c r="B150" s="4" t="s">
        <v>139</v>
      </c>
      <c r="C150" s="4" t="s">
        <v>140</v>
      </c>
      <c r="D150" s="3" t="n">
        <v>4.0</v>
      </c>
      <c r="E150" s="4" t="s">
        <v>28</v>
      </c>
      <c r="F150" s="4" t="s">
        <v>29</v>
      </c>
      <c r="G150" s="4" t="s">
        <v>30</v>
      </c>
      <c r="H150" s="5" t="n">
        <f>14.0</f>
        <v>14.0</v>
      </c>
    </row>
    <row r="151">
      <c r="A151" s="3" t="s">
        <v>114</v>
      </c>
      <c r="B151" s="4" t="s">
        <v>139</v>
      </c>
      <c r="C151" s="4" t="s">
        <v>140</v>
      </c>
      <c r="D151" s="3" t="n">
        <v>5.0</v>
      </c>
      <c r="E151" s="4" t="s">
        <v>141</v>
      </c>
      <c r="F151" s="4" t="s">
        <v>142</v>
      </c>
      <c r="G151" s="4" t="s">
        <v>143</v>
      </c>
      <c r="H151" s="5" t="n">
        <f>8.0</f>
        <v>8.0</v>
      </c>
    </row>
    <row r="152">
      <c r="A152" s="3" t="s">
        <v>114</v>
      </c>
      <c r="B152" s="4" t="s">
        <v>139</v>
      </c>
      <c r="C152" s="4" t="s">
        <v>140</v>
      </c>
      <c r="D152" s="3" t="n">
        <v>6.0</v>
      </c>
      <c r="E152" s="4" t="s">
        <v>49</v>
      </c>
      <c r="F152" s="4" t="s">
        <v>50</v>
      </c>
      <c r="G152" s="4" t="s">
        <v>51</v>
      </c>
      <c r="H152" s="5" t="n">
        <f>6.0</f>
        <v>6.0</v>
      </c>
    </row>
    <row r="153">
      <c r="A153" s="3" t="s">
        <v>114</v>
      </c>
      <c r="B153" s="4" t="s">
        <v>139</v>
      </c>
      <c r="C153" s="4" t="s">
        <v>140</v>
      </c>
      <c r="D153" s="3" t="n">
        <v>7.0</v>
      </c>
      <c r="E153" s="4" t="s">
        <v>55</v>
      </c>
      <c r="F153" s="4" t="s">
        <v>56</v>
      </c>
      <c r="G153" s="4" t="s">
        <v>57</v>
      </c>
      <c r="H153" s="5" t="n">
        <f>3.0</f>
        <v>3.0</v>
      </c>
    </row>
    <row r="154">
      <c r="A154" s="3" t="s">
        <v>114</v>
      </c>
      <c r="B154" s="4" t="s">
        <v>139</v>
      </c>
      <c r="C154" s="4" t="s">
        <v>140</v>
      </c>
      <c r="D154" s="3" t="n">
        <v>8.0</v>
      </c>
      <c r="E154" s="4" t="s">
        <v>144</v>
      </c>
      <c r="F154" s="4" t="s">
        <v>145</v>
      </c>
      <c r="G154" s="4" t="s">
        <v>146</v>
      </c>
      <c r="H154" s="5" t="n">
        <f>1.0</f>
        <v>1.0</v>
      </c>
    </row>
    <row r="155">
      <c r="A155" s="3" t="s">
        <v>114</v>
      </c>
      <c r="B155" s="4" t="s">
        <v>139</v>
      </c>
      <c r="C155" s="4" t="s">
        <v>140</v>
      </c>
      <c r="D155" s="3" t="n">
        <v>8.0</v>
      </c>
      <c r="E155" s="4" t="s">
        <v>81</v>
      </c>
      <c r="F155" s="4" t="s">
        <v>82</v>
      </c>
      <c r="G155" s="4" t="s">
        <v>83</v>
      </c>
      <c r="H155" s="5" t="n">
        <f>1.0</f>
        <v>1.0</v>
      </c>
    </row>
    <row r="156">
      <c r="A156" s="3" t="s">
        <v>114</v>
      </c>
      <c r="B156" s="4" t="s">
        <v>139</v>
      </c>
      <c r="C156" s="4" t="s">
        <v>140</v>
      </c>
      <c r="D156" s="3" t="n">
        <v>8.0</v>
      </c>
      <c r="E156" s="4" t="s">
        <v>78</v>
      </c>
      <c r="F156" s="4" t="s">
        <v>79</v>
      </c>
      <c r="G156" s="4" t="s">
        <v>80</v>
      </c>
      <c r="H156" s="5" t="n">
        <f>1.0</f>
        <v>1.0</v>
      </c>
    </row>
    <row r="157">
      <c r="A157" s="3" t="s">
        <v>114</v>
      </c>
      <c r="B157" s="4" t="s">
        <v>139</v>
      </c>
      <c r="C157" s="4" t="s">
        <v>140</v>
      </c>
      <c r="D157" s="3" t="n">
        <v>8.0</v>
      </c>
      <c r="E157" s="4" t="s">
        <v>46</v>
      </c>
      <c r="F157" s="4" t="s">
        <v>47</v>
      </c>
      <c r="G157" s="4" t="s">
        <v>48</v>
      </c>
      <c r="H157" s="5" t="n">
        <f>1.0</f>
        <v>1.0</v>
      </c>
    </row>
    <row r="158">
      <c r="A158" s="3" t="s">
        <v>114</v>
      </c>
      <c r="B158" s="4" t="s">
        <v>147</v>
      </c>
      <c r="C158" s="4" t="s">
        <v>148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6.0</f>
        <v>6.0</v>
      </c>
    </row>
    <row r="159">
      <c r="A159" s="3" t="s">
        <v>114</v>
      </c>
      <c r="B159" s="4" t="s">
        <v>149</v>
      </c>
      <c r="C159" s="4" t="s">
        <v>150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15.0</f>
        <v>15.0</v>
      </c>
    </row>
    <row r="160">
      <c r="A160" s="3" t="s">
        <v>114</v>
      </c>
      <c r="B160" s="4" t="s">
        <v>149</v>
      </c>
      <c r="C160" s="4" t="s">
        <v>150</v>
      </c>
      <c r="D160" s="3" t="n">
        <v>2.0</v>
      </c>
      <c r="E160" s="4" t="s">
        <v>55</v>
      </c>
      <c r="F160" s="4" t="s">
        <v>56</v>
      </c>
      <c r="G160" s="4" t="s">
        <v>57</v>
      </c>
      <c r="H160" s="5" t="n">
        <f>6.0</f>
        <v>6.0</v>
      </c>
    </row>
    <row r="161">
      <c r="A161" s="3" t="s">
        <v>114</v>
      </c>
      <c r="B161" s="4" t="s">
        <v>149</v>
      </c>
      <c r="C161" s="4" t="s">
        <v>150</v>
      </c>
      <c r="D161" s="3" t="n">
        <v>3.0</v>
      </c>
      <c r="E161" s="4" t="s">
        <v>28</v>
      </c>
      <c r="F161" s="4" t="s">
        <v>29</v>
      </c>
      <c r="G161" s="4" t="s">
        <v>30</v>
      </c>
      <c r="H161" s="5" t="n">
        <f>2.0</f>
        <v>2.0</v>
      </c>
    </row>
    <row r="162">
      <c r="A162" s="3" t="s">
        <v>114</v>
      </c>
      <c r="B162" s="4" t="s">
        <v>149</v>
      </c>
      <c r="C162" s="4" t="s">
        <v>150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2.0</f>
        <v>2.0</v>
      </c>
    </row>
    <row r="163">
      <c r="A163" s="3" t="s">
        <v>114</v>
      </c>
      <c r="B163" s="4" t="s">
        <v>149</v>
      </c>
      <c r="C163" s="4" t="s">
        <v>150</v>
      </c>
      <c r="D163" s="3" t="n">
        <v>5.0</v>
      </c>
      <c r="E163" s="4" t="s">
        <v>49</v>
      </c>
      <c r="F163" s="4" t="s">
        <v>50</v>
      </c>
      <c r="G163" s="4" t="s">
        <v>51</v>
      </c>
      <c r="H163" s="5" t="n">
        <f>1.0</f>
        <v>1.0</v>
      </c>
    </row>
    <row r="164">
      <c r="A164" s="3" t="s">
        <v>114</v>
      </c>
      <c r="B164" s="4" t="s">
        <v>151</v>
      </c>
      <c r="C164" s="4" t="s">
        <v>152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5.0</f>
        <v>5.0</v>
      </c>
    </row>
    <row r="165">
      <c r="A165" s="3" t="s">
        <v>114</v>
      </c>
      <c r="B165" s="4" t="s">
        <v>151</v>
      </c>
      <c r="C165" s="4" t="s">
        <v>152</v>
      </c>
      <c r="D165" s="3" t="n">
        <v>2.0</v>
      </c>
      <c r="E165" s="4" t="s">
        <v>28</v>
      </c>
      <c r="F165" s="4" t="s">
        <v>29</v>
      </c>
      <c r="G165" s="4" t="s">
        <v>30</v>
      </c>
      <c r="H165" s="5" t="n">
        <f>4.0</f>
        <v>4.0</v>
      </c>
    </row>
    <row r="166">
      <c r="A166" s="3" t="s">
        <v>114</v>
      </c>
      <c r="B166" s="4" t="s">
        <v>151</v>
      </c>
      <c r="C166" s="4" t="s">
        <v>152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3.0</f>
        <v>3.0</v>
      </c>
    </row>
    <row r="167">
      <c r="A167" s="3" t="s">
        <v>114</v>
      </c>
      <c r="B167" s="4" t="s">
        <v>151</v>
      </c>
      <c r="C167" s="4" t="s">
        <v>152</v>
      </c>
      <c r="D167" s="3" t="n">
        <v>4.0</v>
      </c>
      <c r="E167" s="4" t="s">
        <v>58</v>
      </c>
      <c r="F167" s="4" t="s">
        <v>59</v>
      </c>
      <c r="G167" s="4" t="s">
        <v>60</v>
      </c>
      <c r="H167" s="5" t="n">
        <f>1.0</f>
        <v>1.0</v>
      </c>
    </row>
    <row r="168">
      <c r="A168" s="3" t="s">
        <v>114</v>
      </c>
      <c r="B168" s="4" t="s">
        <v>151</v>
      </c>
      <c r="C168" s="4" t="s">
        <v>152</v>
      </c>
      <c r="D168" s="3" t="n">
        <v>4.0</v>
      </c>
      <c r="E168" s="4" t="s">
        <v>49</v>
      </c>
      <c r="F168" s="4" t="s">
        <v>50</v>
      </c>
      <c r="G168" s="4" t="s">
        <v>51</v>
      </c>
      <c r="H168" s="5" t="n">
        <f>1.0</f>
        <v>1.0</v>
      </c>
    </row>
    <row r="169">
      <c r="A169" s="3" t="s">
        <v>114</v>
      </c>
      <c r="B169" s="4" t="s">
        <v>153</v>
      </c>
      <c r="C169" s="4" t="s">
        <v>154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4.0</f>
        <v>4.0</v>
      </c>
    </row>
    <row r="170">
      <c r="A170" s="3" t="s">
        <v>155</v>
      </c>
      <c r="B170" s="4" t="s">
        <v>156</v>
      </c>
      <c r="C170" s="4" t="s">
        <v>157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5100.0</f>
        <v>5100.0</v>
      </c>
    </row>
    <row r="171">
      <c r="A171" s="3" t="s">
        <v>155</v>
      </c>
      <c r="B171" s="4" t="s">
        <v>156</v>
      </c>
      <c r="C171" s="4" t="s">
        <v>157</v>
      </c>
      <c r="D171" s="3" t="n">
        <v>2.0</v>
      </c>
      <c r="E171" s="4" t="s">
        <v>158</v>
      </c>
      <c r="F171" s="4" t="s">
        <v>159</v>
      </c>
      <c r="G171" s="4" t="s">
        <v>160</v>
      </c>
      <c r="H171" s="5" t="n">
        <f>5000.0</f>
        <v>5000.0</v>
      </c>
    </row>
    <row r="172">
      <c r="A172" s="3" t="s">
        <v>155</v>
      </c>
      <c r="B172" s="4" t="s">
        <v>156</v>
      </c>
      <c r="C172" s="4" t="s">
        <v>157</v>
      </c>
      <c r="D172" s="3" t="n">
        <v>3.0</v>
      </c>
      <c r="E172" s="4" t="s">
        <v>161</v>
      </c>
      <c r="F172" s="4" t="s">
        <v>162</v>
      </c>
      <c r="G172" s="4" t="s">
        <v>163</v>
      </c>
      <c r="H172" s="5" t="n">
        <f>100.0</f>
        <v>100.0</v>
      </c>
    </row>
    <row r="173">
      <c r="A173" s="3" t="s">
        <v>155</v>
      </c>
      <c r="B173" s="4" t="s">
        <v>164</v>
      </c>
      <c r="C173" s="4" t="s">
        <v>165</v>
      </c>
      <c r="D173" s="3" t="n">
        <v>1.0</v>
      </c>
      <c r="E173" s="4" t="s">
        <v>166</v>
      </c>
      <c r="F173" s="4" t="s">
        <v>167</v>
      </c>
      <c r="G173" s="4" t="s">
        <v>168</v>
      </c>
      <c r="H173" s="5" t="n">
        <f>3000.0</f>
        <v>3000.0</v>
      </c>
    </row>
    <row r="174">
      <c r="A174" s="3" t="s">
        <v>155</v>
      </c>
      <c r="B174" s="4" t="s">
        <v>164</v>
      </c>
      <c r="C174" s="4" t="s">
        <v>165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3000.0</f>
        <v>3000.0</v>
      </c>
    </row>
    <row r="175">
      <c r="A175" s="3" t="s">
        <v>155</v>
      </c>
      <c r="B175" s="4" t="s">
        <v>169</v>
      </c>
      <c r="C175" s="4" t="s">
        <v>170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2100.0</f>
        <v>2100.0</v>
      </c>
    </row>
    <row r="176">
      <c r="A176" s="3" t="s">
        <v>155</v>
      </c>
      <c r="B176" s="4" t="s">
        <v>169</v>
      </c>
      <c r="C176" s="4" t="s">
        <v>170</v>
      </c>
      <c r="D176" s="3" t="n">
        <v>2.0</v>
      </c>
      <c r="E176" s="4" t="s">
        <v>161</v>
      </c>
      <c r="F176" s="4" t="s">
        <v>162</v>
      </c>
      <c r="G176" s="4" t="s">
        <v>163</v>
      </c>
      <c r="H176" s="5" t="n">
        <f>2000.0</f>
        <v>2000.0</v>
      </c>
    </row>
    <row r="177">
      <c r="A177" s="3" t="s">
        <v>155</v>
      </c>
      <c r="B177" s="4" t="s">
        <v>169</v>
      </c>
      <c r="C177" s="4" t="s">
        <v>170</v>
      </c>
      <c r="D177" s="3" t="n">
        <v>3.0</v>
      </c>
      <c r="E177" s="4" t="s">
        <v>90</v>
      </c>
      <c r="F177" s="4" t="s">
        <v>91</v>
      </c>
      <c r="G177" s="4" t="s">
        <v>92</v>
      </c>
      <c r="H177" s="5" t="n">
        <f>100.0</f>
        <v>100.0</v>
      </c>
    </row>
    <row r="178">
      <c r="A178" s="3" t="s">
        <v>155</v>
      </c>
      <c r="B178" s="4" t="s">
        <v>171</v>
      </c>
      <c r="C178" s="4" t="s">
        <v>172</v>
      </c>
      <c r="D178" s="3" t="n">
        <v>1.0</v>
      </c>
      <c r="E178" s="4" t="s">
        <v>158</v>
      </c>
      <c r="F178" s="4" t="s">
        <v>159</v>
      </c>
      <c r="G178" s="4" t="s">
        <v>160</v>
      </c>
      <c r="H178" s="5" t="n">
        <f>2000.0</f>
        <v>2000.0</v>
      </c>
    </row>
    <row r="179">
      <c r="A179" s="3" t="s">
        <v>155</v>
      </c>
      <c r="B179" s="4" t="s">
        <v>171</v>
      </c>
      <c r="C179" s="4" t="s">
        <v>172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2000.0</f>
        <v>2000.0</v>
      </c>
    </row>
    <row r="180">
      <c r="A180" s="3" t="s">
        <v>155</v>
      </c>
      <c r="B180" s="4" t="s">
        <v>173</v>
      </c>
      <c r="C180" s="4" t="s">
        <v>174</v>
      </c>
      <c r="D180" s="3" t="n">
        <v>1.0</v>
      </c>
      <c r="E180" s="4" t="s">
        <v>161</v>
      </c>
      <c r="F180" s="4" t="s">
        <v>162</v>
      </c>
      <c r="G180" s="4" t="s">
        <v>163</v>
      </c>
      <c r="H180" s="5" t="n">
        <f>500.0</f>
        <v>500.0</v>
      </c>
    </row>
    <row r="181">
      <c r="A181" s="3" t="s">
        <v>155</v>
      </c>
      <c r="B181" s="4" t="s">
        <v>173</v>
      </c>
      <c r="C181" s="4" t="s">
        <v>174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500.0</f>
        <v>500.0</v>
      </c>
    </row>
    <row r="182">
      <c r="A182" s="3" t="s">
        <v>155</v>
      </c>
      <c r="B182" s="4" t="s">
        <v>175</v>
      </c>
      <c r="C182" s="4" t="s">
        <v>176</v>
      </c>
      <c r="D182" s="3" t="n">
        <v>1.0</v>
      </c>
      <c r="E182" s="4" t="s">
        <v>166</v>
      </c>
      <c r="F182" s="4" t="s">
        <v>167</v>
      </c>
      <c r="G182" s="4" t="s">
        <v>168</v>
      </c>
      <c r="H182" s="5" t="n">
        <f>450.0</f>
        <v>450.0</v>
      </c>
    </row>
    <row r="183">
      <c r="A183" s="3" t="s">
        <v>155</v>
      </c>
      <c r="B183" s="4" t="s">
        <v>175</v>
      </c>
      <c r="C183" s="4" t="s">
        <v>176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450.0</f>
        <v>450.0</v>
      </c>
    </row>
    <row r="184">
      <c r="A184" s="3" t="s">
        <v>155</v>
      </c>
      <c r="B184" s="4" t="s">
        <v>177</v>
      </c>
      <c r="C184" s="4" t="s">
        <v>178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408.0</f>
        <v>408.0</v>
      </c>
    </row>
    <row r="185">
      <c r="A185" s="3" t="s">
        <v>155</v>
      </c>
      <c r="B185" s="4" t="s">
        <v>177</v>
      </c>
      <c r="C185" s="4" t="s">
        <v>178</v>
      </c>
      <c r="D185" s="3" t="n">
        <v>2.0</v>
      </c>
      <c r="E185" s="4" t="s">
        <v>166</v>
      </c>
      <c r="F185" s="4" t="s">
        <v>167</v>
      </c>
      <c r="G185" s="4" t="s">
        <v>168</v>
      </c>
      <c r="H185" s="5" t="n">
        <f>400.0</f>
        <v>400.0</v>
      </c>
    </row>
    <row r="186">
      <c r="A186" s="3" t="s">
        <v>155</v>
      </c>
      <c r="B186" s="4" t="s">
        <v>179</v>
      </c>
      <c r="C186" s="4" t="s">
        <v>180</v>
      </c>
      <c r="D186" s="3" t="n">
        <v>1.0</v>
      </c>
      <c r="E186" s="4" t="s">
        <v>166</v>
      </c>
      <c r="F186" s="4" t="s">
        <v>167</v>
      </c>
      <c r="G186" s="4" t="s">
        <v>168</v>
      </c>
      <c r="H186" s="5" t="n">
        <f>400.0</f>
        <v>400.0</v>
      </c>
    </row>
    <row r="187">
      <c r="A187" s="3" t="s">
        <v>155</v>
      </c>
      <c r="B187" s="4" t="s">
        <v>179</v>
      </c>
      <c r="C187" s="4" t="s">
        <v>180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400.0</f>
        <v>400.0</v>
      </c>
    </row>
    <row r="188">
      <c r="A188" s="3" t="s">
        <v>155</v>
      </c>
      <c r="B188" s="4" t="s">
        <v>181</v>
      </c>
      <c r="C188" s="4" t="s">
        <v>182</v>
      </c>
      <c r="D188" s="3" t="n">
        <v>1.0</v>
      </c>
      <c r="E188" s="4" t="s">
        <v>161</v>
      </c>
      <c r="F188" s="4" t="s">
        <v>162</v>
      </c>
      <c r="G188" s="4" t="s">
        <v>163</v>
      </c>
      <c r="H188" s="5" t="n">
        <f>355.0</f>
        <v>355.0</v>
      </c>
    </row>
    <row r="189">
      <c r="A189" s="3" t="s">
        <v>155</v>
      </c>
      <c r="B189" s="4" t="s">
        <v>181</v>
      </c>
      <c r="C189" s="4" t="s">
        <v>182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355.0</f>
        <v>355.0</v>
      </c>
    </row>
    <row r="190">
      <c r="A190" s="3" t="s">
        <v>155</v>
      </c>
      <c r="B190" s="4" t="s">
        <v>183</v>
      </c>
      <c r="C190" s="4" t="s">
        <v>184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334.0</f>
        <v>334.0</v>
      </c>
    </row>
    <row r="191">
      <c r="A191" s="3" t="s">
        <v>155</v>
      </c>
      <c r="B191" s="4" t="s">
        <v>183</v>
      </c>
      <c r="C191" s="4" t="s">
        <v>184</v>
      </c>
      <c r="D191" s="3" t="n">
        <v>2.0</v>
      </c>
      <c r="E191" s="4" t="s">
        <v>37</v>
      </c>
      <c r="F191" s="4" t="s">
        <v>38</v>
      </c>
      <c r="G191" s="4" t="s">
        <v>39</v>
      </c>
      <c r="H191" s="5" t="n">
        <f>300.0</f>
        <v>300.0</v>
      </c>
    </row>
    <row r="192">
      <c r="A192" s="3" t="s">
        <v>155</v>
      </c>
      <c r="B192" s="4" t="s">
        <v>183</v>
      </c>
      <c r="C192" s="4" t="s">
        <v>184</v>
      </c>
      <c r="D192" s="3" t="n">
        <v>3.0</v>
      </c>
      <c r="E192" s="4" t="s">
        <v>161</v>
      </c>
      <c r="F192" s="4" t="s">
        <v>162</v>
      </c>
      <c r="G192" s="4" t="s">
        <v>163</v>
      </c>
      <c r="H192" s="5" t="n">
        <f>23.0</f>
        <v>23.0</v>
      </c>
    </row>
    <row r="193">
      <c r="A193" s="3" t="s">
        <v>155</v>
      </c>
      <c r="B193" s="4" t="s">
        <v>183</v>
      </c>
      <c r="C193" s="4" t="s">
        <v>184</v>
      </c>
      <c r="D193" s="3" t="n">
        <v>4.0</v>
      </c>
      <c r="E193" s="4" t="s">
        <v>90</v>
      </c>
      <c r="F193" s="4" t="s">
        <v>91</v>
      </c>
      <c r="G193" s="4" t="s">
        <v>92</v>
      </c>
      <c r="H193" s="5" t="n">
        <f>10.0</f>
        <v>10.0</v>
      </c>
    </row>
    <row r="194">
      <c r="A194" s="3" t="s">
        <v>155</v>
      </c>
      <c r="B194" s="4" t="s">
        <v>185</v>
      </c>
      <c r="C194" s="4" t="s">
        <v>186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302.0</f>
        <v>302.0</v>
      </c>
    </row>
    <row r="195">
      <c r="A195" s="3" t="s">
        <v>155</v>
      </c>
      <c r="B195" s="4" t="s">
        <v>185</v>
      </c>
      <c r="C195" s="4" t="s">
        <v>186</v>
      </c>
      <c r="D195" s="3" t="n">
        <v>2.0</v>
      </c>
      <c r="E195" s="4" t="s">
        <v>166</v>
      </c>
      <c r="F195" s="4" t="s">
        <v>167</v>
      </c>
      <c r="G195" s="4" t="s">
        <v>168</v>
      </c>
      <c r="H195" s="5" t="n">
        <f>300.0</f>
        <v>300.0</v>
      </c>
    </row>
    <row r="196">
      <c r="A196" s="3" t="s">
        <v>155</v>
      </c>
      <c r="B196" s="4" t="s">
        <v>187</v>
      </c>
      <c r="C196" s="4" t="s">
        <v>188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270.0</f>
        <v>270.0</v>
      </c>
    </row>
    <row r="197">
      <c r="A197" s="3" t="s">
        <v>155</v>
      </c>
      <c r="B197" s="4" t="s">
        <v>187</v>
      </c>
      <c r="C197" s="4" t="s">
        <v>188</v>
      </c>
      <c r="D197" s="3" t="n">
        <v>1.0</v>
      </c>
      <c r="E197" s="4" t="s">
        <v>37</v>
      </c>
      <c r="F197" s="4" t="s">
        <v>38</v>
      </c>
      <c r="G197" s="4" t="s">
        <v>39</v>
      </c>
      <c r="H197" s="5" t="n">
        <f>270.0</f>
        <v>270.0</v>
      </c>
    </row>
    <row r="198">
      <c r="A198" s="3" t="s">
        <v>155</v>
      </c>
      <c r="B198" s="4" t="s">
        <v>189</v>
      </c>
      <c r="C198" s="4" t="s">
        <v>190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205.0</f>
        <v>205.0</v>
      </c>
    </row>
    <row r="199">
      <c r="A199" s="3" t="s">
        <v>155</v>
      </c>
      <c r="B199" s="4" t="s">
        <v>189</v>
      </c>
      <c r="C199" s="4" t="s">
        <v>190</v>
      </c>
      <c r="D199" s="3" t="n">
        <v>2.0</v>
      </c>
      <c r="E199" s="4" t="s">
        <v>37</v>
      </c>
      <c r="F199" s="4" t="s">
        <v>38</v>
      </c>
      <c r="G199" s="4" t="s">
        <v>39</v>
      </c>
      <c r="H199" s="5" t="n">
        <f>200.0</f>
        <v>200.0</v>
      </c>
    </row>
    <row r="200">
      <c r="A200" s="3" t="s">
        <v>155</v>
      </c>
      <c r="B200" s="4" t="s">
        <v>191</v>
      </c>
      <c r="C200" s="4" t="s">
        <v>192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202.0</f>
        <v>202.0</v>
      </c>
    </row>
    <row r="201">
      <c r="A201" s="3" t="s">
        <v>155</v>
      </c>
      <c r="B201" s="4" t="s">
        <v>191</v>
      </c>
      <c r="C201" s="4" t="s">
        <v>192</v>
      </c>
      <c r="D201" s="3" t="n">
        <v>2.0</v>
      </c>
      <c r="E201" s="4" t="s">
        <v>37</v>
      </c>
      <c r="F201" s="4" t="s">
        <v>38</v>
      </c>
      <c r="G201" s="4" t="s">
        <v>39</v>
      </c>
      <c r="H201" s="5" t="n">
        <f>200.0</f>
        <v>200.0</v>
      </c>
    </row>
    <row r="202">
      <c r="A202" s="3" t="s">
        <v>155</v>
      </c>
      <c r="B202" s="4" t="s">
        <v>193</v>
      </c>
      <c r="C202" s="4" t="s">
        <v>194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201.0</f>
        <v>201.0</v>
      </c>
    </row>
    <row r="203">
      <c r="A203" s="3" t="s">
        <v>155</v>
      </c>
      <c r="B203" s="4" t="s">
        <v>193</v>
      </c>
      <c r="C203" s="4" t="s">
        <v>194</v>
      </c>
      <c r="D203" s="3" t="n">
        <v>2.0</v>
      </c>
      <c r="E203" s="4" t="s">
        <v>166</v>
      </c>
      <c r="F203" s="4" t="s">
        <v>167</v>
      </c>
      <c r="G203" s="4" t="s">
        <v>168</v>
      </c>
      <c r="H203" s="5" t="n">
        <f>200.0</f>
        <v>200.0</v>
      </c>
    </row>
    <row r="204">
      <c r="A204" s="3" t="s">
        <v>155</v>
      </c>
      <c r="B204" s="4" t="s">
        <v>195</v>
      </c>
      <c r="C204" s="4" t="s">
        <v>196</v>
      </c>
      <c r="D204" s="3" t="n">
        <v>1.0</v>
      </c>
      <c r="E204" s="4" t="s">
        <v>166</v>
      </c>
      <c r="F204" s="4" t="s">
        <v>167</v>
      </c>
      <c r="G204" s="4" t="s">
        <v>168</v>
      </c>
      <c r="H204" s="5" t="n">
        <f>180.0</f>
        <v>180.0</v>
      </c>
    </row>
    <row r="205">
      <c r="A205" s="3" t="s">
        <v>155</v>
      </c>
      <c r="B205" s="4" t="s">
        <v>195</v>
      </c>
      <c r="C205" s="4" t="s">
        <v>196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180.0</f>
        <v>180.0</v>
      </c>
    </row>
    <row r="206">
      <c r="A206" s="3" t="s">
        <v>155</v>
      </c>
      <c r="B206" s="4" t="s">
        <v>197</v>
      </c>
      <c r="C206" s="4" t="s">
        <v>198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150.0</f>
        <v>150.0</v>
      </c>
    </row>
    <row r="207">
      <c r="A207" s="3" t="s">
        <v>155</v>
      </c>
      <c r="B207" s="4" t="s">
        <v>197</v>
      </c>
      <c r="C207" s="4" t="s">
        <v>198</v>
      </c>
      <c r="D207" s="3" t="n">
        <v>1.0</v>
      </c>
      <c r="E207" s="4" t="s">
        <v>37</v>
      </c>
      <c r="F207" s="4" t="s">
        <v>38</v>
      </c>
      <c r="G207" s="4" t="s">
        <v>39</v>
      </c>
      <c r="H207" s="5" t="n">
        <f>150.0</f>
        <v>150.0</v>
      </c>
    </row>
    <row r="208">
      <c r="A208" s="3" t="s">
        <v>155</v>
      </c>
      <c r="B208" s="4" t="s">
        <v>199</v>
      </c>
      <c r="C208" s="4" t="s">
        <v>200</v>
      </c>
      <c r="D208" s="3" t="n">
        <v>1.0</v>
      </c>
      <c r="E208" s="4" t="s">
        <v>166</v>
      </c>
      <c r="F208" s="4" t="s">
        <v>167</v>
      </c>
      <c r="G208" s="4" t="s">
        <v>168</v>
      </c>
      <c r="H208" s="5" t="n">
        <f>150.0</f>
        <v>150.0</v>
      </c>
    </row>
    <row r="209">
      <c r="A209" s="3" t="s">
        <v>155</v>
      </c>
      <c r="B209" s="4" t="s">
        <v>199</v>
      </c>
      <c r="C209" s="4" t="s">
        <v>200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150.0</f>
        <v>150.0</v>
      </c>
    </row>
    <row r="210">
      <c r="A210" s="3" t="s">
        <v>155</v>
      </c>
      <c r="B210" s="4" t="s">
        <v>201</v>
      </c>
      <c r="C210" s="4" t="s">
        <v>202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121.0</f>
        <v>121.0</v>
      </c>
    </row>
    <row r="211">
      <c r="A211" s="3" t="s">
        <v>155</v>
      </c>
      <c r="B211" s="4" t="s">
        <v>201</v>
      </c>
      <c r="C211" s="4" t="s">
        <v>202</v>
      </c>
      <c r="D211" s="3" t="n">
        <v>2.0</v>
      </c>
      <c r="E211" s="4" t="s">
        <v>37</v>
      </c>
      <c r="F211" s="4" t="s">
        <v>38</v>
      </c>
      <c r="G211" s="4" t="s">
        <v>39</v>
      </c>
      <c r="H211" s="5" t="n">
        <f>120.0</f>
        <v>120.0</v>
      </c>
    </row>
    <row r="212">
      <c r="A212" s="3" t="s">
        <v>155</v>
      </c>
      <c r="B212" s="4" t="s">
        <v>203</v>
      </c>
      <c r="C212" s="4" t="s">
        <v>204</v>
      </c>
      <c r="D212" s="3" t="n">
        <v>1.0</v>
      </c>
      <c r="E212" s="4" t="s">
        <v>161</v>
      </c>
      <c r="F212" s="4" t="s">
        <v>162</v>
      </c>
      <c r="G212" s="4" t="s">
        <v>163</v>
      </c>
      <c r="H212" s="5" t="n">
        <f>112.0</f>
        <v>112.0</v>
      </c>
    </row>
    <row r="213">
      <c r="A213" s="3" t="s">
        <v>155</v>
      </c>
      <c r="B213" s="4" t="s">
        <v>203</v>
      </c>
      <c r="C213" s="4" t="s">
        <v>204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112.0</f>
        <v>112.0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