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<sst xmlns="http://schemas.openxmlformats.org/spreadsheetml/2006/main" count="382" uniqueCount="94">
  <si>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</si>
  <si>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</si>
  <si>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</si>
  <si>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</si>
  <si>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</si>
  <si>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</si>
  <si>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</si>
  <si>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</si>
  <si>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</si>
  <si>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20260513</t>
  </si>
  <si>
    <t>NK225F</t>
  </si>
  <si>
    <t>161060018</t>
  </si>
  <si>
    <t>NIKKEI 225 FUT 2606</t>
  </si>
  <si>
    <t>11560</t>
  </si>
  <si>
    <t>ゴールドマン証券</t>
  </si>
  <si>
    <t>Goldman Sachs Japan</t>
  </si>
  <si>
    <t>11746</t>
  </si>
  <si>
    <t>ＵＢＳ証券</t>
  </si>
  <si>
    <t>UBS Securities Japan</t>
  </si>
  <si>
    <t>11256</t>
  </si>
  <si>
    <t>ＳＢＩ証券</t>
  </si>
  <si>
    <t>SBI SECURITIES</t>
  </si>
  <si>
    <t>12724</t>
  </si>
  <si>
    <t>ＨＳＢＣ証券</t>
  </si>
  <si>
    <t>HSBC Securities (Japan)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</si>
  <si>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</si>
  <si>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</si>
  <si>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</si>
  <si>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</si>
  <si>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</si>
  <si>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</si>
  <si>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</si>
  <si>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</si>
  <si>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</si>
  <si>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</si>
  <si>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</si>
  <si>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</si>
  <si>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</si>
  <si>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</si>
  <si>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</si>
  <si>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</si>
  <si>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</si>
  <si>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</si>
  <si>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</si>
  <si>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</si>
  <si>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</si>
  <si>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</si>
  <si>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</si>
  <si>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</si>
  <si>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</si>
  <si>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</si>
  <si>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</si>
  <si>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</si>
  <si>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</si>
  <si>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</si>
  <si>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</si>
  <si>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</si>
  <si>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</si>
  <si>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</si>
  <si>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</si>
  <si>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</si>
  <si>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</si>
  <si>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</si>
  <si>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</si>
  <si>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</si>
  <si>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</si>
  <si>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</si>
  <si>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</si>
  <si>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</si>
  <si>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</si>
  <si>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</si>
  <si>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</si>
  <si>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</si>
  <si>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</si>
  <si>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</si>
  <si>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</si>
  <si>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</si>
  <si>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</si>
  <si>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</si>
  <si>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</si>
  <si>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</si>
  <si>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</si>
  <si>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</si>
  <si>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</si>
  <si>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</si>
  <si>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NK225E</t>
  </si>
  <si>
    <t>181303018</t>
  </si>
  <si>
    <t>NIKKEI 225 OOP P2606-63000</t>
  </si>
  <si>
    <t>191304218</t>
  </si>
  <si>
    <t>NIKKEI 225 OOP C2606-64250</t>
  </si>
  <si>
    <t>191304018</t>
  </si>
  <si>
    <t>NIKKEI 225 OOP C2606-64000</t>
  </si>
  <si>
    <t>191303018</t>
  </si>
  <si>
    <t>NIKKEI 225 OOP C2606-63000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</si>
</sst>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2394.0</f>
        <v>2394.0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1136.0</f>
        <v>1136.0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1064.0</f>
        <v>1064.0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1000.0</f>
        <v>1000.0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968.0</f>
        <v>968.0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545.0</f>
        <v>545.0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521.0</f>
        <v>521.0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336.0</f>
        <v>336.0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306.0</f>
        <v>306.0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229.0</f>
        <v>229.0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210.0</f>
        <v>210.0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202.0</f>
        <v>202.0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178.0</f>
        <v>178.0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130.0</f>
        <v>130.0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101.0</f>
        <v>101.0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88.0</f>
        <v>88.0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80.0</f>
        <v>80.0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53.0</f>
        <v>53.0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42.0</f>
        <v>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3.0</f>
        <v>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1000.0</f>
        <v>1000.0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22</v>
      </c>
      <c r="F30" s="4" t="s">
        <v>23</v>
      </c>
      <c r="G30" s="4" t="s">
        <v>24</v>
      </c>
      <c r="H30" s="5" t="n">
        <f>1000.0</f>
        <v>1000.0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2.0</f>
        <v>2.0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19</v>
      </c>
      <c r="F34" s="4" t="s">
        <v>20</v>
      </c>
      <c r="G34" s="4" t="s">
        <v>21</v>
      </c>
      <c r="H34" s="5" t="n">
        <f>38248.0</f>
        <v>38248.0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43</v>
      </c>
      <c r="F35" s="4" t="s">
        <v>44</v>
      </c>
      <c r="G35" s="4" t="s">
        <v>45</v>
      </c>
      <c r="H35" s="5" t="n">
        <f>25892.0</f>
        <v>25892.0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4496.0</f>
        <v>4496.0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55</v>
      </c>
      <c r="F37" s="4" t="s">
        <v>56</v>
      </c>
      <c r="G37" s="4" t="s">
        <v>57</v>
      </c>
      <c r="H37" s="5" t="n">
        <f>210.0</f>
        <v>210.0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67</v>
      </c>
      <c r="F38" s="4" t="s">
        <v>68</v>
      </c>
      <c r="G38" s="4" t="s">
        <v>69</v>
      </c>
      <c r="H38" s="5" t="n">
        <f>154.0</f>
        <v>154.0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37</v>
      </c>
      <c r="F39" s="4" t="s">
        <v>38</v>
      </c>
      <c r="G39" s="4" t="s">
        <v>39</v>
      </c>
      <c r="H39" s="5" t="n">
        <f>56.0</f>
        <v>56.0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13</v>
      </c>
      <c r="F40" s="4" t="s">
        <v>14</v>
      </c>
      <c r="G40" s="4" t="s">
        <v>15</v>
      </c>
      <c r="H40" s="5" t="n">
        <f>40.0</f>
        <v>40.0</v>
      </c>
    </row>
    <row r="41">
      <c r="A41" s="3" t="s">
        <v>75</v>
      </c>
      <c r="B41" s="4" t="s">
        <v>76</v>
      </c>
      <c r="C41" s="4" t="s">
        <v>77</v>
      </c>
      <c r="D41" s="3" t="n">
        <v>8.0</v>
      </c>
      <c r="E41" s="4" t="s">
        <v>25</v>
      </c>
      <c r="F41" s="4" t="s">
        <v>26</v>
      </c>
      <c r="G41" s="4" t="s">
        <v>27</v>
      </c>
      <c r="H41" s="5" t="n">
        <f>34.0</f>
        <v>34.0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19</v>
      </c>
      <c r="F42" s="4" t="s">
        <v>20</v>
      </c>
      <c r="G42" s="4" t="s">
        <v>21</v>
      </c>
      <c r="H42" s="5" t="n">
        <f>160.0</f>
        <v>160.0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61</v>
      </c>
      <c r="F43" s="4" t="s">
        <v>62</v>
      </c>
      <c r="G43" s="4" t="s">
        <v>63</v>
      </c>
      <c r="H43" s="5" t="n">
        <f>34.0</f>
        <v>34.0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43</v>
      </c>
      <c r="F44" s="4" t="s">
        <v>44</v>
      </c>
      <c r="G44" s="4" t="s">
        <v>45</v>
      </c>
      <c r="H44" s="5" t="n">
        <f>14.0</f>
        <v>14.0</v>
      </c>
    </row>
    <row r="45">
      <c r="A45" s="3" t="s">
        <v>75</v>
      </c>
      <c r="B45" s="4" t="s">
        <v>80</v>
      </c>
      <c r="C45" s="4" t="s">
        <v>81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18.0</f>
        <v>18.0</v>
      </c>
    </row>
    <row r="46">
      <c r="A46" s="3" t="s">
        <v>75</v>
      </c>
      <c r="B46" s="4" t="s">
        <v>80</v>
      </c>
      <c r="C46" s="4" t="s">
        <v>81</v>
      </c>
      <c r="D46" s="3" t="n">
        <v>2.0</v>
      </c>
      <c r="E46" s="4" t="s">
        <v>43</v>
      </c>
      <c r="F46" s="4" t="s">
        <v>44</v>
      </c>
      <c r="G46" s="4" t="s">
        <v>45</v>
      </c>
      <c r="H46" s="5" t="n">
        <f>10.0</f>
        <v>10.0</v>
      </c>
    </row>
    <row r="47">
      <c r="A47" s="3" t="s">
        <v>75</v>
      </c>
      <c r="B47" s="4" t="s">
        <v>80</v>
      </c>
      <c r="C47" s="4" t="s">
        <v>81</v>
      </c>
      <c r="D47" s="3" t="n">
        <v>3.0</v>
      </c>
      <c r="E47" s="4" t="s">
        <v>61</v>
      </c>
      <c r="F47" s="4" t="s">
        <v>62</v>
      </c>
      <c r="G47" s="4" t="s">
        <v>63</v>
      </c>
      <c r="H47" s="5" t="n">
        <f>6.0</f>
        <v>6.0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13</v>
      </c>
      <c r="F48" s="4" t="s">
        <v>14</v>
      </c>
      <c r="G48" s="4" t="s">
        <v>15</v>
      </c>
      <c r="H48" s="5" t="n">
        <f>2971.0</f>
        <v>2971.0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46</v>
      </c>
      <c r="F49" s="4" t="s">
        <v>47</v>
      </c>
      <c r="G49" s="4" t="s">
        <v>48</v>
      </c>
      <c r="H49" s="5" t="n">
        <f>1645.0</f>
        <v>1645.0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37</v>
      </c>
      <c r="F50" s="4" t="s">
        <v>38</v>
      </c>
      <c r="G50" s="4" t="s">
        <v>39</v>
      </c>
      <c r="H50" s="5" t="n">
        <f>1227.0</f>
        <v>1227.0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16</v>
      </c>
      <c r="F51" s="4" t="s">
        <v>17</v>
      </c>
      <c r="G51" s="4" t="s">
        <v>18</v>
      </c>
      <c r="H51" s="5" t="n">
        <f>1091.0</f>
        <v>1091.0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28</v>
      </c>
      <c r="F52" s="4" t="s">
        <v>29</v>
      </c>
      <c r="G52" s="4" t="s">
        <v>30</v>
      </c>
      <c r="H52" s="5" t="n">
        <f>950.0</f>
        <v>950.0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58</v>
      </c>
      <c r="F53" s="4" t="s">
        <v>59</v>
      </c>
      <c r="G53" s="4" t="s">
        <v>60</v>
      </c>
      <c r="H53" s="5" t="n">
        <f>700.0</f>
        <v>700.0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31</v>
      </c>
      <c r="F54" s="4" t="s">
        <v>32</v>
      </c>
      <c r="G54" s="4" t="s">
        <v>33</v>
      </c>
      <c r="H54" s="5" t="n">
        <f>612.0</f>
        <v>612.0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40</v>
      </c>
      <c r="F55" s="4" t="s">
        <v>41</v>
      </c>
      <c r="G55" s="4" t="s">
        <v>42</v>
      </c>
      <c r="H55" s="5" t="n">
        <f>562.0</f>
        <v>562.0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49</v>
      </c>
      <c r="F56" s="4" t="s">
        <v>50</v>
      </c>
      <c r="G56" s="4" t="s">
        <v>51</v>
      </c>
      <c r="H56" s="5" t="n">
        <f>264.0</f>
        <v>264.0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19</v>
      </c>
      <c r="F57" s="4" t="s">
        <v>20</v>
      </c>
      <c r="G57" s="4" t="s">
        <v>21</v>
      </c>
      <c r="H57" s="5" t="n">
        <f>248.0</f>
        <v>248.0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52</v>
      </c>
      <c r="F58" s="4" t="s">
        <v>53</v>
      </c>
      <c r="G58" s="4" t="s">
        <v>54</v>
      </c>
      <c r="H58" s="5" t="n">
        <f>209.0</f>
        <v>209.0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67</v>
      </c>
      <c r="F59" s="4" t="s">
        <v>68</v>
      </c>
      <c r="G59" s="4" t="s">
        <v>69</v>
      </c>
      <c r="H59" s="5" t="n">
        <f>180.0</f>
        <v>180.0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34</v>
      </c>
      <c r="F60" s="4" t="s">
        <v>35</v>
      </c>
      <c r="G60" s="4" t="s">
        <v>36</v>
      </c>
      <c r="H60" s="5" t="n">
        <f>101.0</f>
        <v>101.0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25</v>
      </c>
      <c r="F61" s="4" t="s">
        <v>26</v>
      </c>
      <c r="G61" s="4" t="s">
        <v>27</v>
      </c>
      <c r="H61" s="5" t="n">
        <f>73.0</f>
        <v>73.0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70</v>
      </c>
      <c r="F62" s="4" t="s">
        <v>71</v>
      </c>
      <c r="G62" s="4" t="s">
        <v>72</v>
      </c>
      <c r="H62" s="5" t="n">
        <f>1.0</f>
        <v>1.0</v>
      </c>
    </row>
    <row r="63">
      <c r="A63" s="3" t="s">
        <v>85</v>
      </c>
      <c r="B63" s="4" t="s">
        <v>86</v>
      </c>
      <c r="C63" s="4" t="s">
        <v>87</v>
      </c>
      <c r="D63" s="3" t="n">
        <v>1.0</v>
      </c>
      <c r="E63" s="4" t="s">
        <v>19</v>
      </c>
      <c r="F63" s="4" t="s">
        <v>20</v>
      </c>
      <c r="G63" s="4" t="s">
        <v>21</v>
      </c>
      <c r="H63" s="5" t="n">
        <f>14.0</f>
        <v>14.0</v>
      </c>
    </row>
    <row r="64">
      <c r="A64" s="3" t="s">
        <v>85</v>
      </c>
      <c r="B64" s="4" t="s">
        <v>88</v>
      </c>
      <c r="C64" s="4" t="s">
        <v>89</v>
      </c>
      <c r="D64" s="3" t="n">
        <v>1.0</v>
      </c>
      <c r="E64" s="4" t="s">
        <v>43</v>
      </c>
      <c r="F64" s="4" t="s">
        <v>44</v>
      </c>
      <c r="G64" s="4" t="s">
        <v>45</v>
      </c>
      <c r="H64" s="5" t="n">
        <f>2.0</f>
        <v>2.0</v>
      </c>
    </row>
    <row r="65">
      <c r="A65" s="3" t="s">
        <v>85</v>
      </c>
      <c r="B65" s="4" t="s">
        <v>90</v>
      </c>
      <c r="C65" s="4" t="s">
        <v>91</v>
      </c>
      <c r="D65" s="3" t="n">
        <v>1.0</v>
      </c>
      <c r="E65" s="4" t="s">
        <v>34</v>
      </c>
      <c r="F65" s="4" t="s">
        <v>35</v>
      </c>
      <c r="G65" s="4" t="s">
        <v>36</v>
      </c>
      <c r="H65" s="5" t="n">
        <f>300.0</f>
        <v>300.0</v>
      </c>
    </row>
    <row r="66">
      <c r="A66" s="3" t="s">
        <v>85</v>
      </c>
      <c r="B66" s="4" t="s">
        <v>90</v>
      </c>
      <c r="C66" s="4" t="s">
        <v>91</v>
      </c>
      <c r="D66" s="3" t="n">
        <v>2.0</v>
      </c>
      <c r="E66" s="4" t="s">
        <v>25</v>
      </c>
      <c r="F66" s="4" t="s">
        <v>26</v>
      </c>
      <c r="G66" s="4" t="s">
        <v>27</v>
      </c>
      <c r="H66" s="5" t="n">
        <f>200.0</f>
        <v>200.0</v>
      </c>
    </row>
    <row r="67">
      <c r="A67" s="3" t="s">
        <v>85</v>
      </c>
      <c r="B67" s="4" t="s">
        <v>90</v>
      </c>
      <c r="C67" s="4" t="s">
        <v>91</v>
      </c>
      <c r="D67" s="3" t="n">
        <v>3.0</v>
      </c>
      <c r="E67" s="4" t="s">
        <v>16</v>
      </c>
      <c r="F67" s="4" t="s">
        <v>17</v>
      </c>
      <c r="G67" s="4" t="s">
        <v>18</v>
      </c>
      <c r="H67" s="5" t="n">
        <f>100.0</f>
        <v>100.0</v>
      </c>
    </row>
    <row r="68">
      <c r="A68" s="3" t="s">
        <v>85</v>
      </c>
      <c r="B68" s="4" t="s">
        <v>90</v>
      </c>
      <c r="C68" s="4" t="s">
        <v>91</v>
      </c>
      <c r="D68" s="3" t="n">
        <v>3.0</v>
      </c>
      <c r="E68" s="4" t="s">
        <v>28</v>
      </c>
      <c r="F68" s="4" t="s">
        <v>29</v>
      </c>
      <c r="G68" s="4" t="s">
        <v>30</v>
      </c>
      <c r="H68" s="5" t="n">
        <f>100.0</f>
        <v>100.0</v>
      </c>
    </row>
    <row r="69">
      <c r="A69" s="3" t="s">
        <v>85</v>
      </c>
      <c r="B69" s="4" t="s">
        <v>90</v>
      </c>
      <c r="C69" s="4" t="s">
        <v>91</v>
      </c>
      <c r="D69" s="3" t="n">
        <v>3.0</v>
      </c>
      <c r="E69" s="4" t="s">
        <v>58</v>
      </c>
      <c r="F69" s="4" t="s">
        <v>59</v>
      </c>
      <c r="G69" s="4" t="s">
        <v>60</v>
      </c>
      <c r="H69" s="5" t="n">
        <f>100.0</f>
        <v>100.0</v>
      </c>
    </row>
    <row r="70">
      <c r="A70" s="3" t="s">
        <v>85</v>
      </c>
      <c r="B70" s="4" t="s">
        <v>92</v>
      </c>
      <c r="C70" s="4" t="s">
        <v>93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22.0</f>
        <v>22.0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