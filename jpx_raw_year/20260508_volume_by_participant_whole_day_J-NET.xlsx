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<sst xmlns="http://schemas.openxmlformats.org/spreadsheetml/2006/main" count="442" uniqueCount="98">
  <si>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</si>
  <si>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</si>
  <si>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</si>
  <si>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</si>
  <si>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</si>
  <si>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</si>
  <si>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</si>
  <si>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</si>
  <si>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</si>
  <si>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20260508</t>
  </si>
  <si>
    <t>NK225F</t>
  </si>
  <si>
    <t>161060018</t>
  </si>
  <si>
    <t>NIKKEI 225 FUT 2606</t>
  </si>
  <si>
    <t>12400</t>
  </si>
  <si>
    <t>野村証券</t>
  </si>
  <si>
    <t>The Nomura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</si>
  <si>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</si>
  <si>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</si>
  <si>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</si>
  <si>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</si>
  <si>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</si>
  <si>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</si>
  <si>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</si>
  <si>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</si>
  <si>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</si>
  <si>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</si>
  <si>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</si>
  <si>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</si>
  <si>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</si>
  <si>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</si>
  <si>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</si>
  <si>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</si>
  <si>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</si>
  <si>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</si>
  <si>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</si>
  <si>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</si>
  <si>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</si>
  <si>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</si>
  <si>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</si>
  <si>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</si>
  <si>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</si>
  <si>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</si>
  <si>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</si>
  <si>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</si>
  <si>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</si>
  <si>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</si>
  <si>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</si>
  <si>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</si>
  <si>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</si>
  <si>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</si>
  <si>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</si>
  <si>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</si>
  <si>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</si>
  <si>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</si>
  <si>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</si>
  <si>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</si>
  <si>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</si>
  <si>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</si>
  <si>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</si>
  <si>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</si>
  <si>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</si>
  <si>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</si>
  <si>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</si>
  <si>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</si>
  <si>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</si>
  <si>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</si>
  <si>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</si>
  <si>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</si>
  <si>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</si>
  <si>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</si>
  <si>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</si>
  <si>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</si>
  <si>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</si>
  <si>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</si>
  <si>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</si>
  <si>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</si>
  <si>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</si>
  <si>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</si>
  <si>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</si>
  <si>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</si>
  <si>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</si>
  <si>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</si>
  <si>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</si>
  <si>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</si>
  <si>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</si>
  <si>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NK225E</t>
  </si>
  <si>
    <t>131301718</t>
  </si>
  <si>
    <t>NIKKEI 225 OOP P2606-61750</t>
  </si>
  <si>
    <t>131302018</t>
  </si>
  <si>
    <t>NIKKEI 225 OOP P2606-62000</t>
  </si>
  <si>
    <t>191063318</t>
  </si>
  <si>
    <t>NIKKEI 225 OOP C2606-63375</t>
  </si>
  <si>
    <t>191303218</t>
  </si>
  <si>
    <t>NIKKEI 225 OOP C2606-63250</t>
  </si>
  <si>
    <t>191303018</t>
  </si>
  <si>
    <t>NIKKEI 225 OOP C2606-63000</t>
  </si>
  <si>
    <t>191182518</t>
  </si>
  <si>
    <t>NIKKEI 225 OOP C2606-62500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</si>
</sst>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2874.0</f>
        <v>2874.0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2414.0</f>
        <v>2414.0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2393.0</f>
        <v>2393.0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2311.0</f>
        <v>2311.0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2260.0</f>
        <v>2260.0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1715.0</f>
        <v>1715.0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1279.0</f>
        <v>1279.0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1081.0</f>
        <v>1081.0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976.0</f>
        <v>976.0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900.0</f>
        <v>900.0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893.0</f>
        <v>893.0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816.0</f>
        <v>816.0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346.0</f>
        <v>346.0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308.0</f>
        <v>308.0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288.0</f>
        <v>288.0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186.0</f>
        <v>186.0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151.0</f>
        <v>151.0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141.0</f>
        <v>141.0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116.0</f>
        <v>116.0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66.0</f>
        <v>66.0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1250.0</f>
        <v>1250.0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900.0</f>
        <v>900.0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50.0</f>
        <v>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55</v>
      </c>
      <c r="F35" s="4" t="s">
        <v>56</v>
      </c>
      <c r="G35" s="4" t="s">
        <v>57</v>
      </c>
      <c r="H35" s="5" t="n">
        <f>4.0</f>
        <v>4.0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43</v>
      </c>
      <c r="F36" s="4" t="s">
        <v>44</v>
      </c>
      <c r="G36" s="4" t="s">
        <v>45</v>
      </c>
      <c r="H36" s="5" t="n">
        <f>33202.0</f>
        <v>33202.0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55</v>
      </c>
      <c r="F37" s="4" t="s">
        <v>56</v>
      </c>
      <c r="G37" s="4" t="s">
        <v>57</v>
      </c>
      <c r="H37" s="5" t="n">
        <f>20962.0</f>
        <v>20962.0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67</v>
      </c>
      <c r="F38" s="4" t="s">
        <v>68</v>
      </c>
      <c r="G38" s="4" t="s">
        <v>69</v>
      </c>
      <c r="H38" s="5" t="n">
        <f>3558.0</f>
        <v>3558.0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16</v>
      </c>
      <c r="F39" s="4" t="s">
        <v>17</v>
      </c>
      <c r="G39" s="4" t="s">
        <v>18</v>
      </c>
      <c r="H39" s="5" t="n">
        <f>118.0</f>
        <v>118.0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34</v>
      </c>
      <c r="F40" s="4" t="s">
        <v>35</v>
      </c>
      <c r="G40" s="4" t="s">
        <v>36</v>
      </c>
      <c r="H40" s="5" t="n">
        <f>103.0</f>
        <v>103.0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46</v>
      </c>
      <c r="F41" s="4" t="s">
        <v>47</v>
      </c>
      <c r="G41" s="4" t="s">
        <v>48</v>
      </c>
      <c r="H41" s="5" t="n">
        <f>103.0</f>
        <v>103.0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13</v>
      </c>
      <c r="F42" s="4" t="s">
        <v>14</v>
      </c>
      <c r="G42" s="4" t="s">
        <v>15</v>
      </c>
      <c r="H42" s="5" t="n">
        <f>34.0</f>
        <v>34.0</v>
      </c>
    </row>
    <row r="43">
      <c r="A43" s="3" t="s">
        <v>75</v>
      </c>
      <c r="B43" s="4" t="s">
        <v>76</v>
      </c>
      <c r="C43" s="4" t="s">
        <v>77</v>
      </c>
      <c r="D43" s="3" t="n">
        <v>8.0</v>
      </c>
      <c r="E43" s="4" t="s">
        <v>19</v>
      </c>
      <c r="F43" s="4" t="s">
        <v>20</v>
      </c>
      <c r="G43" s="4" t="s">
        <v>21</v>
      </c>
      <c r="H43" s="5" t="n">
        <f>10.0</f>
        <v>10.0</v>
      </c>
    </row>
    <row r="44">
      <c r="A44" s="3" t="s">
        <v>75</v>
      </c>
      <c r="B44" s="4" t="s">
        <v>76</v>
      </c>
      <c r="C44" s="4" t="s">
        <v>77</v>
      </c>
      <c r="D44" s="3" t="n">
        <v>9.0</v>
      </c>
      <c r="E44" s="4" t="s">
        <v>31</v>
      </c>
      <c r="F44" s="4" t="s">
        <v>32</v>
      </c>
      <c r="G44" s="4" t="s">
        <v>33</v>
      </c>
      <c r="H44" s="5" t="n">
        <f>4.0</f>
        <v>4.0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43</v>
      </c>
      <c r="F45" s="4" t="s">
        <v>44</v>
      </c>
      <c r="G45" s="4" t="s">
        <v>45</v>
      </c>
      <c r="H45" s="5" t="n">
        <f>208.0</f>
        <v>208.0</v>
      </c>
    </row>
    <row r="46">
      <c r="A46" s="3" t="s">
        <v>75</v>
      </c>
      <c r="B46" s="4" t="s">
        <v>78</v>
      </c>
      <c r="C46" s="4" t="s">
        <v>79</v>
      </c>
      <c r="D46" s="3" t="n">
        <v>2.0</v>
      </c>
      <c r="E46" s="4" t="s">
        <v>55</v>
      </c>
      <c r="F46" s="4" t="s">
        <v>56</v>
      </c>
      <c r="G46" s="4" t="s">
        <v>57</v>
      </c>
      <c r="H46" s="5" t="n">
        <f>114.0</f>
        <v>114.0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67</v>
      </c>
      <c r="F47" s="4" t="s">
        <v>68</v>
      </c>
      <c r="G47" s="4" t="s">
        <v>69</v>
      </c>
      <c r="H47" s="5" t="n">
        <f>80.0</f>
        <v>80.0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43</v>
      </c>
      <c r="F48" s="4" t="s">
        <v>44</v>
      </c>
      <c r="G48" s="4" t="s">
        <v>45</v>
      </c>
      <c r="H48" s="5" t="n">
        <f>4.0</f>
        <v>4.0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67</v>
      </c>
      <c r="F49" s="4" t="s">
        <v>68</v>
      </c>
      <c r="G49" s="4" t="s">
        <v>69</v>
      </c>
      <c r="H49" s="5" t="n">
        <f>2.0</f>
        <v>2.0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16</v>
      </c>
      <c r="F50" s="4" t="s">
        <v>17</v>
      </c>
      <c r="G50" s="4" t="s">
        <v>18</v>
      </c>
      <c r="H50" s="5" t="n">
        <f>6342.0</f>
        <v>6342.0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31</v>
      </c>
      <c r="F51" s="4" t="s">
        <v>32</v>
      </c>
      <c r="G51" s="4" t="s">
        <v>33</v>
      </c>
      <c r="H51" s="5" t="n">
        <f>2943.0</f>
        <v>2943.0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22</v>
      </c>
      <c r="F52" s="4" t="s">
        <v>23</v>
      </c>
      <c r="G52" s="4" t="s">
        <v>24</v>
      </c>
      <c r="H52" s="5" t="n">
        <f>1804.0</f>
        <v>1804.0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25</v>
      </c>
      <c r="F53" s="4" t="s">
        <v>26</v>
      </c>
      <c r="G53" s="4" t="s">
        <v>27</v>
      </c>
      <c r="H53" s="5" t="n">
        <f>1580.0</f>
        <v>1580.0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19</v>
      </c>
      <c r="F54" s="4" t="s">
        <v>20</v>
      </c>
      <c r="G54" s="4" t="s">
        <v>21</v>
      </c>
      <c r="H54" s="5" t="n">
        <f>1463.0</f>
        <v>1463.0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70</v>
      </c>
      <c r="F55" s="4" t="s">
        <v>71</v>
      </c>
      <c r="G55" s="4" t="s">
        <v>72</v>
      </c>
      <c r="H55" s="5" t="n">
        <f>1064.0</f>
        <v>1064.0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37</v>
      </c>
      <c r="F56" s="4" t="s">
        <v>38</v>
      </c>
      <c r="G56" s="4" t="s">
        <v>39</v>
      </c>
      <c r="H56" s="5" t="n">
        <f>765.0</f>
        <v>765.0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43</v>
      </c>
      <c r="F57" s="4" t="s">
        <v>44</v>
      </c>
      <c r="G57" s="4" t="s">
        <v>45</v>
      </c>
      <c r="H57" s="5" t="n">
        <f>734.0</f>
        <v>734.0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58</v>
      </c>
      <c r="F58" s="4" t="s">
        <v>59</v>
      </c>
      <c r="G58" s="4" t="s">
        <v>60</v>
      </c>
      <c r="H58" s="5" t="n">
        <f>564.0</f>
        <v>564.0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52</v>
      </c>
      <c r="F59" s="4" t="s">
        <v>53</v>
      </c>
      <c r="G59" s="4" t="s">
        <v>54</v>
      </c>
      <c r="H59" s="5" t="n">
        <f>550.0</f>
        <v>550.0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61</v>
      </c>
      <c r="F60" s="4" t="s">
        <v>62</v>
      </c>
      <c r="G60" s="4" t="s">
        <v>63</v>
      </c>
      <c r="H60" s="5" t="n">
        <f>550.0</f>
        <v>550.0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34</v>
      </c>
      <c r="F61" s="4" t="s">
        <v>35</v>
      </c>
      <c r="G61" s="4" t="s">
        <v>36</v>
      </c>
      <c r="H61" s="5" t="n">
        <f>501.0</f>
        <v>501.0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13</v>
      </c>
      <c r="F62" s="4" t="s">
        <v>14</v>
      </c>
      <c r="G62" s="4" t="s">
        <v>15</v>
      </c>
      <c r="H62" s="5" t="n">
        <f>348.0</f>
        <v>348.0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46</v>
      </c>
      <c r="F63" s="4" t="s">
        <v>47</v>
      </c>
      <c r="G63" s="4" t="s">
        <v>48</v>
      </c>
      <c r="H63" s="5" t="n">
        <f>134.0</f>
        <v>134.0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28</v>
      </c>
      <c r="F64" s="4" t="s">
        <v>29</v>
      </c>
      <c r="G64" s="4" t="s">
        <v>30</v>
      </c>
      <c r="H64" s="5" t="n">
        <f>111.0</f>
        <v>111.0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49</v>
      </c>
      <c r="F65" s="4" t="s">
        <v>50</v>
      </c>
      <c r="G65" s="4" t="s">
        <v>51</v>
      </c>
      <c r="H65" s="5" t="n">
        <f>27.0</f>
        <v>27.0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67</v>
      </c>
      <c r="F66" s="4" t="s">
        <v>68</v>
      </c>
      <c r="G66" s="4" t="s">
        <v>69</v>
      </c>
      <c r="H66" s="5" t="n">
        <f>2.0</f>
        <v>2.0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43</v>
      </c>
      <c r="F67" s="4" t="s">
        <v>44</v>
      </c>
      <c r="G67" s="4" t="s">
        <v>45</v>
      </c>
      <c r="H67" s="5" t="n">
        <f>2.0</f>
        <v>2.0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43</v>
      </c>
      <c r="F68" s="4" t="s">
        <v>44</v>
      </c>
      <c r="G68" s="4" t="s">
        <v>45</v>
      </c>
      <c r="H68" s="5" t="n">
        <f>8.0</f>
        <v>8.0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22</v>
      </c>
      <c r="F69" s="4" t="s">
        <v>23</v>
      </c>
      <c r="G69" s="4" t="s">
        <v>24</v>
      </c>
      <c r="H69" s="5" t="n">
        <f>914.0</f>
        <v>914.0</v>
      </c>
    </row>
    <row r="70">
      <c r="A70" s="3" t="s">
        <v>85</v>
      </c>
      <c r="B70" s="4" t="s">
        <v>92</v>
      </c>
      <c r="C70" s="4" t="s">
        <v>93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900.0</f>
        <v>900.0</v>
      </c>
    </row>
    <row r="71">
      <c r="A71" s="3" t="s">
        <v>85</v>
      </c>
      <c r="B71" s="4" t="s">
        <v>92</v>
      </c>
      <c r="C71" s="4" t="s">
        <v>93</v>
      </c>
      <c r="D71" s="3" t="n">
        <v>1.0</v>
      </c>
      <c r="E71" s="4" t="s">
        <v>64</v>
      </c>
      <c r="F71" s="4" t="s">
        <v>65</v>
      </c>
      <c r="G71" s="4" t="s">
        <v>66</v>
      </c>
      <c r="H71" s="5" t="n">
        <f>900.0</f>
        <v>900.0</v>
      </c>
    </row>
    <row r="72">
      <c r="A72" s="3" t="s">
        <v>85</v>
      </c>
      <c r="B72" s="4" t="s">
        <v>94</v>
      </c>
      <c r="C72" s="4" t="s">
        <v>95</v>
      </c>
      <c r="D72" s="3" t="n">
        <v>1.0</v>
      </c>
      <c r="E72" s="4" t="s">
        <v>34</v>
      </c>
      <c r="F72" s="4" t="s">
        <v>35</v>
      </c>
      <c r="G72" s="4" t="s">
        <v>36</v>
      </c>
      <c r="H72" s="5" t="n">
        <f>620.0</f>
        <v>620.0</v>
      </c>
    </row>
    <row r="73">
      <c r="A73" s="3" t="s">
        <v>85</v>
      </c>
      <c r="B73" s="4" t="s">
        <v>94</v>
      </c>
      <c r="C73" s="4" t="s">
        <v>95</v>
      </c>
      <c r="D73" s="3" t="n">
        <v>2.0</v>
      </c>
      <c r="E73" s="4" t="s">
        <v>37</v>
      </c>
      <c r="F73" s="4" t="s">
        <v>38</v>
      </c>
      <c r="G73" s="4" t="s">
        <v>39</v>
      </c>
      <c r="H73" s="5" t="n">
        <f>350.0</f>
        <v>350.0</v>
      </c>
    </row>
    <row r="74">
      <c r="A74" s="3" t="s">
        <v>85</v>
      </c>
      <c r="B74" s="4" t="s">
        <v>94</v>
      </c>
      <c r="C74" s="4" t="s">
        <v>95</v>
      </c>
      <c r="D74" s="3" t="n">
        <v>3.0</v>
      </c>
      <c r="E74" s="4" t="s">
        <v>22</v>
      </c>
      <c r="F74" s="4" t="s">
        <v>23</v>
      </c>
      <c r="G74" s="4" t="s">
        <v>24</v>
      </c>
      <c r="H74" s="5" t="n">
        <f>64.0</f>
        <v>64.0</v>
      </c>
    </row>
    <row r="75">
      <c r="A75" s="3" t="s">
        <v>85</v>
      </c>
      <c r="B75" s="4" t="s">
        <v>94</v>
      </c>
      <c r="C75" s="4" t="s">
        <v>95</v>
      </c>
      <c r="D75" s="3" t="n">
        <v>4.0</v>
      </c>
      <c r="E75" s="4" t="s">
        <v>55</v>
      </c>
      <c r="F75" s="4" t="s">
        <v>56</v>
      </c>
      <c r="G75" s="4" t="s">
        <v>57</v>
      </c>
      <c r="H75" s="5" t="n">
        <f>6.0</f>
        <v>6.0</v>
      </c>
    </row>
    <row r="76">
      <c r="A76" s="3" t="s">
        <v>85</v>
      </c>
      <c r="B76" s="4" t="s">
        <v>94</v>
      </c>
      <c r="C76" s="4" t="s">
        <v>95</v>
      </c>
      <c r="D76" s="3" t="n">
        <v>5.0</v>
      </c>
      <c r="E76" s="4" t="s">
        <v>43</v>
      </c>
      <c r="F76" s="4" t="s">
        <v>44</v>
      </c>
      <c r="G76" s="4" t="s">
        <v>45</v>
      </c>
      <c r="H76" s="5" t="n">
        <f>2.0</f>
        <v>2.0</v>
      </c>
    </row>
    <row r="77">
      <c r="A77" s="3" t="s">
        <v>85</v>
      </c>
      <c r="B77" s="4" t="s">
        <v>96</v>
      </c>
      <c r="C77" s="4" t="s">
        <v>97</v>
      </c>
      <c r="D77" s="3" t="n">
        <v>1.0</v>
      </c>
      <c r="E77" s="4" t="s">
        <v>34</v>
      </c>
      <c r="F77" s="4" t="s">
        <v>35</v>
      </c>
      <c r="G77" s="4" t="s">
        <v>36</v>
      </c>
      <c r="H77" s="5" t="n">
        <f>200.0</f>
        <v>200.0</v>
      </c>
    </row>
    <row r="78">
      <c r="A78" s="3" t="s">
        <v>85</v>
      </c>
      <c r="B78" s="4" t="s">
        <v>96</v>
      </c>
      <c r="C78" s="4" t="s">
        <v>97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200.0</f>
        <v>200.0</v>
      </c>
    </row>
    <row r="79">
      <c r="A79" s="3" t="s">
        <v>85</v>
      </c>
      <c r="B79" s="4" t="s">
        <v>96</v>
      </c>
      <c r="C79" s="4" t="s">
        <v>97</v>
      </c>
      <c r="D79" s="3" t="n">
        <v>3.0</v>
      </c>
      <c r="E79" s="4" t="s">
        <v>52</v>
      </c>
      <c r="F79" s="4" t="s">
        <v>53</v>
      </c>
      <c r="G79" s="4" t="s">
        <v>54</v>
      </c>
      <c r="H79" s="5" t="n">
        <f>100.0</f>
        <v>100.0</v>
      </c>
    </row>
    <row r="80">
      <c r="A80" s="3" t="s">
        <v>85</v>
      </c>
      <c r="B80" s="4" t="s">
        <v>96</v>
      </c>
      <c r="C80" s="4" t="s">
        <v>97</v>
      </c>
      <c r="D80" s="3" t="n">
        <v>3.0</v>
      </c>
      <c r="E80" s="4" t="s">
        <v>19</v>
      </c>
      <c r="F80" s="4" t="s">
        <v>20</v>
      </c>
      <c r="G80" s="4" t="s">
        <v>21</v>
      </c>
      <c r="H80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