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<sst xmlns="http://schemas.openxmlformats.org/spreadsheetml/2006/main" count="430" uniqueCount="94">
  <si>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</si>
  <si>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</si>
  <si>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</si>
  <si>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</si>
  <si>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</si>
  <si>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</si>
  <si>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</si>
  <si>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</si>
  <si>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</si>
  <si>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20260515</t>
  </si>
  <si>
    <t>NK225F</t>
  </si>
  <si>
    <t>161060018</t>
  </si>
  <si>
    <t>NIKKEI 225 FUT 2606</t>
  </si>
  <si>
    <t>11788</t>
  </si>
  <si>
    <t>ソシエテＧ証券</t>
  </si>
  <si>
    <t>Societe Generale Securities Japan</t>
  </si>
  <si>
    <t>12479</t>
  </si>
  <si>
    <t>ＡＢＮクリアリン証券</t>
  </si>
  <si>
    <t>ABN AMRO Clearing Tokyo</t>
  </si>
  <si>
    <t>11256</t>
  </si>
  <si>
    <t>ＳＢＩ証券</t>
  </si>
  <si>
    <t>SBI SECURITIES</t>
  </si>
  <si>
    <t>12724</t>
  </si>
  <si>
    <t>ＨＳＢＣ証券</t>
  </si>
  <si>
    <t>HSBC Securities (Japan)</t>
  </si>
  <si>
    <t>12400</t>
  </si>
  <si>
    <t>野村証券</t>
  </si>
  <si>
    <t>The Nomura Securities</t>
  </si>
  <si>
    <t>11746</t>
  </si>
  <si>
    <t>ＵＢＳ証券</t>
  </si>
  <si>
    <t>UBS Securities Japan</t>
  </si>
  <si>
    <t>12428</t>
  </si>
  <si>
    <t>ＢＮＰパリバ証券</t>
  </si>
  <si>
    <t>BNP Paribas Securities(Japan)Limited</t>
  </si>
  <si>
    <t>11714</t>
  </si>
  <si>
    <t>ＪＰモルガン証券</t>
  </si>
  <si>
    <t>JPMorgan Securities Japan</t>
  </si>
  <si>
    <t>12792</t>
  </si>
  <si>
    <t>ビーオブエー証券</t>
  </si>
  <si>
    <t>BofA Securities Japan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</si>
  <si>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</si>
  <si>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</si>
  <si>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</si>
  <si>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</si>
  <si>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</si>
  <si>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</si>
  <si>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12057</t>
  </si>
  <si>
    <t>楽天証券</t>
  </si>
  <si>
    <t>Rakuten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</si>
  <si>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</si>
  <si>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</si>
  <si>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</si>
  <si>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</si>
  <si>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</si>
  <si>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</si>
  <si>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12410</t>
  </si>
  <si>
    <t>バークレイズ証券</t>
  </si>
  <si>
    <t>Barclays Securities Japan</t>
  </si>
  <si>
    <t>11696</t>
  </si>
  <si>
    <t>みずほ証券</t>
  </si>
  <si>
    <t>Mizuho Securities</t>
  </si>
  <si>
    <t>12336</t>
  </si>
  <si>
    <t>日産証券</t>
  </si>
  <si>
    <t>Nissan Securities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</si>
  <si>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</si>
  <si>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</si>
  <si>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</si>
  <si>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</si>
  <si>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</si>
  <si>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</si>
  <si>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11560</t>
  </si>
  <si>
    <t>ゴールドマン証券</t>
  </si>
  <si>
    <t>Goldman Sachs Japan</t>
  </si>
  <si>
    <t>161090018</t>
  </si>
  <si>
    <t>NIKKEI 225 FUT 2609</t>
  </si>
  <si>
    <t>NK225MF</t>
  </si>
  <si>
    <t>161060019</t>
  </si>
  <si>
    <t>MINI NK225 FUT 2606</t>
  </si>
  <si>
    <t>161070019</t>
  </si>
  <si>
    <t>MINI NK225 FUT 2607</t>
  </si>
  <si>
    <t>161080019</t>
  </si>
  <si>
    <t>MINI NK225 FUT 2608</t>
  </si>
  <si>
    <t>TOPIXF</t>
  </si>
  <si>
    <t>161060005</t>
  </si>
  <si>
    <t>TOPIX FUT 2606</t>
  </si>
  <si>
    <t>161090005</t>
  </si>
  <si>
    <t>TOPIX FUT 2609</t>
  </si>
  <si>
    <t>NK225E</t>
  </si>
  <si>
    <t>131301018</t>
  </si>
  <si>
    <t>NIKKEI 225 OOP P2606-61000</t>
  </si>
  <si>
    <t>141302018</t>
  </si>
  <si>
    <t>NIKKEI 225 OOP C2606-62000</t>
  </si>
  <si>
    <t>141301518</t>
  </si>
  <si>
    <t>NIKKEI 225 OOP C2606-61500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</si>
</sst>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78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3241.0</f>
        <v>3241.0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2109.0</f>
        <v>2109.0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2093.0</f>
        <v>2093.0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1400.0</f>
        <v>1400.0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1246.0</f>
        <v>1246.0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1228.0</f>
        <v>1228.0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1146.0</f>
        <v>1146.0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1012.0</f>
        <v>1012.0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806.0</f>
        <v>806.0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803.0</f>
        <v>803.0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716.0</f>
        <v>716.0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576.0</f>
        <v>576.0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369.0</f>
        <v>369.0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358.0</f>
        <v>358.0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290.0</f>
        <v>290.0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195.0</f>
        <v>195.0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190.0</f>
        <v>190.0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114.0</f>
        <v>114.0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84.0</f>
        <v>84.0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70.0</f>
        <v>70.0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22</v>
      </c>
      <c r="F29" s="4" t="s">
        <v>23</v>
      </c>
      <c r="G29" s="4" t="s">
        <v>24</v>
      </c>
      <c r="H29" s="5" t="n">
        <f>1400.0</f>
        <v>1400.0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1000.0</f>
        <v>1000.0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900.0</f>
        <v>900.0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650.0</f>
        <v>650.0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350.0</f>
        <v>350.0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40</v>
      </c>
      <c r="F34" s="4" t="s">
        <v>41</v>
      </c>
      <c r="G34" s="4" t="s">
        <v>42</v>
      </c>
      <c r="H34" s="5" t="n">
        <f>300.0</f>
        <v>300.0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19</v>
      </c>
      <c r="F35" s="4" t="s">
        <v>20</v>
      </c>
      <c r="G35" s="4" t="s">
        <v>21</v>
      </c>
      <c r="H35" s="5" t="n">
        <f>14.0</f>
        <v>14.0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46</v>
      </c>
      <c r="F36" s="4" t="s">
        <v>47</v>
      </c>
      <c r="G36" s="4" t="s">
        <v>48</v>
      </c>
      <c r="H36" s="5" t="n">
        <f>12.0</f>
        <v>12.0</v>
      </c>
    </row>
    <row r="37">
      <c r="A37" s="3" t="s">
        <v>75</v>
      </c>
      <c r="B37" s="4" t="s">
        <v>76</v>
      </c>
      <c r="C37" s="4" t="s">
        <v>77</v>
      </c>
      <c r="D37" s="3" t="n">
        <v>1.0</v>
      </c>
      <c r="E37" s="4" t="s">
        <v>19</v>
      </c>
      <c r="F37" s="4" t="s">
        <v>20</v>
      </c>
      <c r="G37" s="4" t="s">
        <v>21</v>
      </c>
      <c r="H37" s="5" t="n">
        <f>69018.0</f>
        <v>69018.0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46</v>
      </c>
      <c r="F38" s="4" t="s">
        <v>47</v>
      </c>
      <c r="G38" s="4" t="s">
        <v>48</v>
      </c>
      <c r="H38" s="5" t="n">
        <f>28870.0</f>
        <v>28870.0</v>
      </c>
    </row>
    <row r="39">
      <c r="A39" s="3" t="s">
        <v>75</v>
      </c>
      <c r="B39" s="4" t="s">
        <v>76</v>
      </c>
      <c r="C39" s="4" t="s">
        <v>77</v>
      </c>
      <c r="D39" s="3" t="n">
        <v>3.0</v>
      </c>
      <c r="E39" s="4" t="s">
        <v>67</v>
      </c>
      <c r="F39" s="4" t="s">
        <v>68</v>
      </c>
      <c r="G39" s="4" t="s">
        <v>69</v>
      </c>
      <c r="H39" s="5" t="n">
        <f>7466.0</f>
        <v>7466.0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25</v>
      </c>
      <c r="F40" s="4" t="s">
        <v>26</v>
      </c>
      <c r="G40" s="4" t="s">
        <v>27</v>
      </c>
      <c r="H40" s="5" t="n">
        <f>160.0</f>
        <v>160.0</v>
      </c>
    </row>
    <row r="41">
      <c r="A41" s="3" t="s">
        <v>75</v>
      </c>
      <c r="B41" s="4" t="s">
        <v>76</v>
      </c>
      <c r="C41" s="4" t="s">
        <v>77</v>
      </c>
      <c r="D41" s="3" t="n">
        <v>5.0</v>
      </c>
      <c r="E41" s="4" t="s">
        <v>58</v>
      </c>
      <c r="F41" s="4" t="s">
        <v>59</v>
      </c>
      <c r="G41" s="4" t="s">
        <v>60</v>
      </c>
      <c r="H41" s="5" t="n">
        <f>113.0</f>
        <v>113.0</v>
      </c>
    </row>
    <row r="42">
      <c r="A42" s="3" t="s">
        <v>75</v>
      </c>
      <c r="B42" s="4" t="s">
        <v>76</v>
      </c>
      <c r="C42" s="4" t="s">
        <v>77</v>
      </c>
      <c r="D42" s="3" t="n">
        <v>5.0</v>
      </c>
      <c r="E42" s="4" t="s">
        <v>43</v>
      </c>
      <c r="F42" s="4" t="s">
        <v>44</v>
      </c>
      <c r="G42" s="4" t="s">
        <v>45</v>
      </c>
      <c r="H42" s="5" t="n">
        <f>113.0</f>
        <v>113.0</v>
      </c>
    </row>
    <row r="43">
      <c r="A43" s="3" t="s">
        <v>75</v>
      </c>
      <c r="B43" s="4" t="s">
        <v>76</v>
      </c>
      <c r="C43" s="4" t="s">
        <v>77</v>
      </c>
      <c r="D43" s="3" t="n">
        <v>7.0</v>
      </c>
      <c r="E43" s="4" t="s">
        <v>70</v>
      </c>
      <c r="F43" s="4" t="s">
        <v>71</v>
      </c>
      <c r="G43" s="4" t="s">
        <v>72</v>
      </c>
      <c r="H43" s="5" t="n">
        <f>46.0</f>
        <v>46.0</v>
      </c>
    </row>
    <row r="44">
      <c r="A44" s="3" t="s">
        <v>75</v>
      </c>
      <c r="B44" s="4" t="s">
        <v>76</v>
      </c>
      <c r="C44" s="4" t="s">
        <v>77</v>
      </c>
      <c r="D44" s="3" t="n">
        <v>8.0</v>
      </c>
      <c r="E44" s="4" t="s">
        <v>64</v>
      </c>
      <c r="F44" s="4" t="s">
        <v>65</v>
      </c>
      <c r="G44" s="4" t="s">
        <v>66</v>
      </c>
      <c r="H44" s="5" t="n">
        <f>12.0</f>
        <v>12.0</v>
      </c>
    </row>
    <row r="45">
      <c r="A45" s="3" t="s">
        <v>75</v>
      </c>
      <c r="B45" s="4" t="s">
        <v>78</v>
      </c>
      <c r="C45" s="4" t="s">
        <v>79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2500.0</f>
        <v>2500.0</v>
      </c>
    </row>
    <row r="46">
      <c r="A46" s="3" t="s">
        <v>75</v>
      </c>
      <c r="B46" s="4" t="s">
        <v>78</v>
      </c>
      <c r="C46" s="4" t="s">
        <v>79</v>
      </c>
      <c r="D46" s="3" t="n">
        <v>1.0</v>
      </c>
      <c r="E46" s="4" t="s">
        <v>37</v>
      </c>
      <c r="F46" s="4" t="s">
        <v>38</v>
      </c>
      <c r="G46" s="4" t="s">
        <v>39</v>
      </c>
      <c r="H46" s="5" t="n">
        <f>2500.0</f>
        <v>2500.0</v>
      </c>
    </row>
    <row r="47">
      <c r="A47" s="3" t="s">
        <v>75</v>
      </c>
      <c r="B47" s="4" t="s">
        <v>78</v>
      </c>
      <c r="C47" s="4" t="s">
        <v>79</v>
      </c>
      <c r="D47" s="3" t="n">
        <v>3.0</v>
      </c>
      <c r="E47" s="4" t="s">
        <v>46</v>
      </c>
      <c r="F47" s="4" t="s">
        <v>47</v>
      </c>
      <c r="G47" s="4" t="s">
        <v>48</v>
      </c>
      <c r="H47" s="5" t="n">
        <f>224.0</f>
        <v>224.0</v>
      </c>
    </row>
    <row r="48">
      <c r="A48" s="3" t="s">
        <v>75</v>
      </c>
      <c r="B48" s="4" t="s">
        <v>78</v>
      </c>
      <c r="C48" s="4" t="s">
        <v>79</v>
      </c>
      <c r="D48" s="3" t="n">
        <v>4.0</v>
      </c>
      <c r="E48" s="4" t="s">
        <v>19</v>
      </c>
      <c r="F48" s="4" t="s">
        <v>20</v>
      </c>
      <c r="G48" s="4" t="s">
        <v>21</v>
      </c>
      <c r="H48" s="5" t="n">
        <f>174.0</f>
        <v>174.0</v>
      </c>
    </row>
    <row r="49">
      <c r="A49" s="3" t="s">
        <v>75</v>
      </c>
      <c r="B49" s="4" t="s">
        <v>78</v>
      </c>
      <c r="C49" s="4" t="s">
        <v>79</v>
      </c>
      <c r="D49" s="3" t="n">
        <v>5.0</v>
      </c>
      <c r="E49" s="4" t="s">
        <v>67</v>
      </c>
      <c r="F49" s="4" t="s">
        <v>68</v>
      </c>
      <c r="G49" s="4" t="s">
        <v>69</v>
      </c>
      <c r="H49" s="5" t="n">
        <f>68.0</f>
        <v>68.0</v>
      </c>
    </row>
    <row r="50">
      <c r="A50" s="3" t="s">
        <v>75</v>
      </c>
      <c r="B50" s="4" t="s">
        <v>80</v>
      </c>
      <c r="C50" s="4" t="s">
        <v>81</v>
      </c>
      <c r="D50" s="3" t="n">
        <v>1.0</v>
      </c>
      <c r="E50" s="4" t="s">
        <v>46</v>
      </c>
      <c r="F50" s="4" t="s">
        <v>47</v>
      </c>
      <c r="G50" s="4" t="s">
        <v>48</v>
      </c>
      <c r="H50" s="5" t="n">
        <f>30.0</f>
        <v>30.0</v>
      </c>
    </row>
    <row r="51">
      <c r="A51" s="3" t="s">
        <v>75</v>
      </c>
      <c r="B51" s="4" t="s">
        <v>80</v>
      </c>
      <c r="C51" s="4" t="s">
        <v>81</v>
      </c>
      <c r="D51" s="3" t="n">
        <v>2.0</v>
      </c>
      <c r="E51" s="4" t="s">
        <v>19</v>
      </c>
      <c r="F51" s="4" t="s">
        <v>20</v>
      </c>
      <c r="G51" s="4" t="s">
        <v>21</v>
      </c>
      <c r="H51" s="5" t="n">
        <f>10.0</f>
        <v>10.0</v>
      </c>
    </row>
    <row r="52">
      <c r="A52" s="3" t="s">
        <v>75</v>
      </c>
      <c r="B52" s="4" t="s">
        <v>80</v>
      </c>
      <c r="C52" s="4" t="s">
        <v>81</v>
      </c>
      <c r="D52" s="3" t="n">
        <v>3.0</v>
      </c>
      <c r="E52" s="4" t="s">
        <v>67</v>
      </c>
      <c r="F52" s="4" t="s">
        <v>68</v>
      </c>
      <c r="G52" s="4" t="s">
        <v>69</v>
      </c>
      <c r="H52" s="5" t="n">
        <f>8.0</f>
        <v>8.0</v>
      </c>
    </row>
    <row r="53">
      <c r="A53" s="3" t="s">
        <v>82</v>
      </c>
      <c r="B53" s="4" t="s">
        <v>83</v>
      </c>
      <c r="C53" s="4" t="s">
        <v>84</v>
      </c>
      <c r="D53" s="3" t="n">
        <v>1.0</v>
      </c>
      <c r="E53" s="4" t="s">
        <v>70</v>
      </c>
      <c r="F53" s="4" t="s">
        <v>71</v>
      </c>
      <c r="G53" s="4" t="s">
        <v>72</v>
      </c>
      <c r="H53" s="5" t="n">
        <f>4694.0</f>
        <v>4694.0</v>
      </c>
    </row>
    <row r="54">
      <c r="A54" s="3" t="s">
        <v>82</v>
      </c>
      <c r="B54" s="4" t="s">
        <v>83</v>
      </c>
      <c r="C54" s="4" t="s">
        <v>84</v>
      </c>
      <c r="D54" s="3" t="n">
        <v>2.0</v>
      </c>
      <c r="E54" s="4" t="s">
        <v>52</v>
      </c>
      <c r="F54" s="4" t="s">
        <v>53</v>
      </c>
      <c r="G54" s="4" t="s">
        <v>54</v>
      </c>
      <c r="H54" s="5" t="n">
        <f>2928.0</f>
        <v>2928.0</v>
      </c>
    </row>
    <row r="55">
      <c r="A55" s="3" t="s">
        <v>82</v>
      </c>
      <c r="B55" s="4" t="s">
        <v>83</v>
      </c>
      <c r="C55" s="4" t="s">
        <v>84</v>
      </c>
      <c r="D55" s="3" t="n">
        <v>3.0</v>
      </c>
      <c r="E55" s="4" t="s">
        <v>25</v>
      </c>
      <c r="F55" s="4" t="s">
        <v>26</v>
      </c>
      <c r="G55" s="4" t="s">
        <v>27</v>
      </c>
      <c r="H55" s="5" t="n">
        <f>1929.0</f>
        <v>1929.0</v>
      </c>
    </row>
    <row r="56">
      <c r="A56" s="3" t="s">
        <v>82</v>
      </c>
      <c r="B56" s="4" t="s">
        <v>83</v>
      </c>
      <c r="C56" s="4" t="s">
        <v>84</v>
      </c>
      <c r="D56" s="3" t="n">
        <v>4.0</v>
      </c>
      <c r="E56" s="4" t="s">
        <v>34</v>
      </c>
      <c r="F56" s="4" t="s">
        <v>35</v>
      </c>
      <c r="G56" s="4" t="s">
        <v>36</v>
      </c>
      <c r="H56" s="5" t="n">
        <f>1239.0</f>
        <v>1239.0</v>
      </c>
    </row>
    <row r="57">
      <c r="A57" s="3" t="s">
        <v>82</v>
      </c>
      <c r="B57" s="4" t="s">
        <v>83</v>
      </c>
      <c r="C57" s="4" t="s">
        <v>84</v>
      </c>
      <c r="D57" s="3" t="n">
        <v>5.0</v>
      </c>
      <c r="E57" s="4" t="s">
        <v>64</v>
      </c>
      <c r="F57" s="4" t="s">
        <v>65</v>
      </c>
      <c r="G57" s="4" t="s">
        <v>66</v>
      </c>
      <c r="H57" s="5" t="n">
        <f>1040.0</f>
        <v>1040.0</v>
      </c>
    </row>
    <row r="58">
      <c r="A58" s="3" t="s">
        <v>82</v>
      </c>
      <c r="B58" s="4" t="s">
        <v>83</v>
      </c>
      <c r="C58" s="4" t="s">
        <v>84</v>
      </c>
      <c r="D58" s="3" t="n">
        <v>6.0</v>
      </c>
      <c r="E58" s="4" t="s">
        <v>13</v>
      </c>
      <c r="F58" s="4" t="s">
        <v>14</v>
      </c>
      <c r="G58" s="4" t="s">
        <v>15</v>
      </c>
      <c r="H58" s="5" t="n">
        <f>1004.0</f>
        <v>1004.0</v>
      </c>
    </row>
    <row r="59">
      <c r="A59" s="3" t="s">
        <v>82</v>
      </c>
      <c r="B59" s="4" t="s">
        <v>83</v>
      </c>
      <c r="C59" s="4" t="s">
        <v>84</v>
      </c>
      <c r="D59" s="3" t="n">
        <v>7.0</v>
      </c>
      <c r="E59" s="4" t="s">
        <v>37</v>
      </c>
      <c r="F59" s="4" t="s">
        <v>38</v>
      </c>
      <c r="G59" s="4" t="s">
        <v>39</v>
      </c>
      <c r="H59" s="5" t="n">
        <f>433.0</f>
        <v>433.0</v>
      </c>
    </row>
    <row r="60">
      <c r="A60" s="3" t="s">
        <v>82</v>
      </c>
      <c r="B60" s="4" t="s">
        <v>83</v>
      </c>
      <c r="C60" s="4" t="s">
        <v>84</v>
      </c>
      <c r="D60" s="3" t="n">
        <v>8.0</v>
      </c>
      <c r="E60" s="4" t="s">
        <v>31</v>
      </c>
      <c r="F60" s="4" t="s">
        <v>32</v>
      </c>
      <c r="G60" s="4" t="s">
        <v>33</v>
      </c>
      <c r="H60" s="5" t="n">
        <f>413.0</f>
        <v>413.0</v>
      </c>
    </row>
    <row r="61">
      <c r="A61" s="3" t="s">
        <v>82</v>
      </c>
      <c r="B61" s="4" t="s">
        <v>83</v>
      </c>
      <c r="C61" s="4" t="s">
        <v>84</v>
      </c>
      <c r="D61" s="3" t="n">
        <v>9.0</v>
      </c>
      <c r="E61" s="4" t="s">
        <v>43</v>
      </c>
      <c r="F61" s="4" t="s">
        <v>44</v>
      </c>
      <c r="G61" s="4" t="s">
        <v>45</v>
      </c>
      <c r="H61" s="5" t="n">
        <f>305.0</f>
        <v>305.0</v>
      </c>
    </row>
    <row r="62">
      <c r="A62" s="3" t="s">
        <v>82</v>
      </c>
      <c r="B62" s="4" t="s">
        <v>83</v>
      </c>
      <c r="C62" s="4" t="s">
        <v>84</v>
      </c>
      <c r="D62" s="3" t="n">
        <v>10.0</v>
      </c>
      <c r="E62" s="4" t="s">
        <v>28</v>
      </c>
      <c r="F62" s="4" t="s">
        <v>29</v>
      </c>
      <c r="G62" s="4" t="s">
        <v>30</v>
      </c>
      <c r="H62" s="5" t="n">
        <f>300.0</f>
        <v>300.0</v>
      </c>
    </row>
    <row r="63">
      <c r="A63" s="3" t="s">
        <v>82</v>
      </c>
      <c r="B63" s="4" t="s">
        <v>83</v>
      </c>
      <c r="C63" s="4" t="s">
        <v>84</v>
      </c>
      <c r="D63" s="3" t="n">
        <v>11.0</v>
      </c>
      <c r="E63" s="4" t="s">
        <v>16</v>
      </c>
      <c r="F63" s="4" t="s">
        <v>17</v>
      </c>
      <c r="G63" s="4" t="s">
        <v>18</v>
      </c>
      <c r="H63" s="5" t="n">
        <f>280.0</f>
        <v>280.0</v>
      </c>
    </row>
    <row r="64">
      <c r="A64" s="3" t="s">
        <v>82</v>
      </c>
      <c r="B64" s="4" t="s">
        <v>83</v>
      </c>
      <c r="C64" s="4" t="s">
        <v>84</v>
      </c>
      <c r="D64" s="3" t="n">
        <v>12.0</v>
      </c>
      <c r="E64" s="4" t="s">
        <v>58</v>
      </c>
      <c r="F64" s="4" t="s">
        <v>59</v>
      </c>
      <c r="G64" s="4" t="s">
        <v>60</v>
      </c>
      <c r="H64" s="5" t="n">
        <f>258.0</f>
        <v>258.0</v>
      </c>
    </row>
    <row r="65">
      <c r="A65" s="3" t="s">
        <v>82</v>
      </c>
      <c r="B65" s="4" t="s">
        <v>83</v>
      </c>
      <c r="C65" s="4" t="s">
        <v>84</v>
      </c>
      <c r="D65" s="3" t="n">
        <v>13.0</v>
      </c>
      <c r="E65" s="4" t="s">
        <v>19</v>
      </c>
      <c r="F65" s="4" t="s">
        <v>20</v>
      </c>
      <c r="G65" s="4" t="s">
        <v>21</v>
      </c>
      <c r="H65" s="5" t="n">
        <f>242.0</f>
        <v>242.0</v>
      </c>
    </row>
    <row r="66">
      <c r="A66" s="3" t="s">
        <v>82</v>
      </c>
      <c r="B66" s="4" t="s">
        <v>83</v>
      </c>
      <c r="C66" s="4" t="s">
        <v>84</v>
      </c>
      <c r="D66" s="3" t="n">
        <v>14.0</v>
      </c>
      <c r="E66" s="4" t="s">
        <v>49</v>
      </c>
      <c r="F66" s="4" t="s">
        <v>50</v>
      </c>
      <c r="G66" s="4" t="s">
        <v>51</v>
      </c>
      <c r="H66" s="5" t="n">
        <f>170.0</f>
        <v>170.0</v>
      </c>
    </row>
    <row r="67">
      <c r="A67" s="3" t="s">
        <v>82</v>
      </c>
      <c r="B67" s="4" t="s">
        <v>83</v>
      </c>
      <c r="C67" s="4" t="s">
        <v>84</v>
      </c>
      <c r="D67" s="3" t="n">
        <v>15.0</v>
      </c>
      <c r="E67" s="4" t="s">
        <v>55</v>
      </c>
      <c r="F67" s="4" t="s">
        <v>56</v>
      </c>
      <c r="G67" s="4" t="s">
        <v>57</v>
      </c>
      <c r="H67" s="5" t="n">
        <f>101.0</f>
        <v>101.0</v>
      </c>
    </row>
    <row r="68">
      <c r="A68" s="3" t="s">
        <v>82</v>
      </c>
      <c r="B68" s="4" t="s">
        <v>83</v>
      </c>
      <c r="C68" s="4" t="s">
        <v>84</v>
      </c>
      <c r="D68" s="3" t="n">
        <v>16.0</v>
      </c>
      <c r="E68" s="4" t="s">
        <v>67</v>
      </c>
      <c r="F68" s="4" t="s">
        <v>68</v>
      </c>
      <c r="G68" s="4" t="s">
        <v>69</v>
      </c>
      <c r="H68" s="5" t="n">
        <f>18.0</f>
        <v>18.0</v>
      </c>
    </row>
    <row r="69">
      <c r="A69" s="3" t="s">
        <v>82</v>
      </c>
      <c r="B69" s="4" t="s">
        <v>85</v>
      </c>
      <c r="C69" s="4" t="s">
        <v>86</v>
      </c>
      <c r="D69" s="3" t="n">
        <v>1.0</v>
      </c>
      <c r="E69" s="4" t="s">
        <v>28</v>
      </c>
      <c r="F69" s="4" t="s">
        <v>29</v>
      </c>
      <c r="G69" s="4" t="s">
        <v>30</v>
      </c>
      <c r="H69" s="5" t="n">
        <f>200.0</f>
        <v>200.0</v>
      </c>
    </row>
    <row r="70">
      <c r="A70" s="3" t="s">
        <v>82</v>
      </c>
      <c r="B70" s="4" t="s">
        <v>85</v>
      </c>
      <c r="C70" s="4" t="s">
        <v>86</v>
      </c>
      <c r="D70" s="3" t="n">
        <v>1.0</v>
      </c>
      <c r="E70" s="4" t="s">
        <v>37</v>
      </c>
      <c r="F70" s="4" t="s">
        <v>38</v>
      </c>
      <c r="G70" s="4" t="s">
        <v>39</v>
      </c>
      <c r="H70" s="5" t="n">
        <f>200.0</f>
        <v>200.0</v>
      </c>
    </row>
    <row r="71">
      <c r="A71" s="3" t="s">
        <v>87</v>
      </c>
      <c r="B71" s="4" t="s">
        <v>88</v>
      </c>
      <c r="C71" s="4" t="s">
        <v>89</v>
      </c>
      <c r="D71" s="3" t="n">
        <v>1.0</v>
      </c>
      <c r="E71" s="4" t="s">
        <v>37</v>
      </c>
      <c r="F71" s="4" t="s">
        <v>38</v>
      </c>
      <c r="G71" s="4" t="s">
        <v>39</v>
      </c>
      <c r="H71" s="5" t="n">
        <f>200.0</f>
        <v>200.0</v>
      </c>
    </row>
    <row r="72">
      <c r="A72" s="3" t="s">
        <v>87</v>
      </c>
      <c r="B72" s="4" t="s">
        <v>88</v>
      </c>
      <c r="C72" s="4" t="s">
        <v>89</v>
      </c>
      <c r="D72" s="3" t="n">
        <v>2.0</v>
      </c>
      <c r="E72" s="4" t="s">
        <v>49</v>
      </c>
      <c r="F72" s="4" t="s">
        <v>50</v>
      </c>
      <c r="G72" s="4" t="s">
        <v>51</v>
      </c>
      <c r="H72" s="5" t="n">
        <f>100.0</f>
        <v>100.0</v>
      </c>
    </row>
    <row r="73">
      <c r="A73" s="3" t="s">
        <v>87</v>
      </c>
      <c r="B73" s="4" t="s">
        <v>88</v>
      </c>
      <c r="C73" s="4" t="s">
        <v>89</v>
      </c>
      <c r="D73" s="3" t="n">
        <v>2.0</v>
      </c>
      <c r="E73" s="4" t="s">
        <v>55</v>
      </c>
      <c r="F73" s="4" t="s">
        <v>56</v>
      </c>
      <c r="G73" s="4" t="s">
        <v>57</v>
      </c>
      <c r="H73" s="5" t="n">
        <f>100.0</f>
        <v>100.0</v>
      </c>
    </row>
    <row r="74">
      <c r="A74" s="3" t="s">
        <v>87</v>
      </c>
      <c r="B74" s="4" t="s">
        <v>88</v>
      </c>
      <c r="C74" s="4" t="s">
        <v>89</v>
      </c>
      <c r="D74" s="3" t="n">
        <v>4.0</v>
      </c>
      <c r="E74" s="4" t="s">
        <v>19</v>
      </c>
      <c r="F74" s="4" t="s">
        <v>20</v>
      </c>
      <c r="G74" s="4" t="s">
        <v>21</v>
      </c>
      <c r="H74" s="5" t="n">
        <f>10.0</f>
        <v>10.0</v>
      </c>
    </row>
    <row r="75">
      <c r="A75" s="3" t="s">
        <v>87</v>
      </c>
      <c r="B75" s="4" t="s">
        <v>90</v>
      </c>
      <c r="C75" s="4" t="s">
        <v>91</v>
      </c>
      <c r="D75" s="3" t="n">
        <v>1.0</v>
      </c>
      <c r="E75" s="4" t="s">
        <v>19</v>
      </c>
      <c r="F75" s="4" t="s">
        <v>20</v>
      </c>
      <c r="G75" s="4" t="s">
        <v>21</v>
      </c>
      <c r="H75" s="5" t="n">
        <f>12.0</f>
        <v>12.0</v>
      </c>
    </row>
    <row r="76">
      <c r="A76" s="3" t="s">
        <v>87</v>
      </c>
      <c r="B76" s="4" t="s">
        <v>92</v>
      </c>
      <c r="C76" s="4" t="s">
        <v>93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750.0</f>
        <v>750.0</v>
      </c>
    </row>
    <row r="77">
      <c r="A77" s="3" t="s">
        <v>87</v>
      </c>
      <c r="B77" s="4" t="s">
        <v>92</v>
      </c>
      <c r="C77" s="4" t="s">
        <v>93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750.0</f>
        <v>750.0</v>
      </c>
    </row>
    <row r="78">
      <c r="A78" s="3" t="s">
        <v>87</v>
      </c>
      <c r="B78" s="4" t="s">
        <v>92</v>
      </c>
      <c r="C78" s="4" t="s">
        <v>93</v>
      </c>
      <c r="D78" s="3" t="n">
        <v>3.0</v>
      </c>
      <c r="E78" s="4" t="s">
        <v>19</v>
      </c>
      <c r="F78" s="4" t="s">
        <v>20</v>
      </c>
      <c r="G78" s="4" t="s">
        <v>21</v>
      </c>
      <c r="H78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