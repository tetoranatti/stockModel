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<sst xmlns="http://schemas.openxmlformats.org/spreadsheetml/2006/main" count="460" uniqueCount="97">
  <si>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</si>
  <si>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</si>
  <si>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</si>
  <si>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</si>
  <si>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</si>
  <si>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</si>
  <si>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</si>
  <si>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</si>
  <si>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</si>
  <si>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20260714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</si>
  <si>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</si>
  <si>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</si>
  <si>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</si>
  <si>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</si>
  <si>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</si>
  <si>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</si>
  <si>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</si>
  <si>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</si>
  <si>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</si>
  <si>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</si>
  <si>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</si>
  <si>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</si>
  <si>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</si>
  <si>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</si>
  <si>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</si>
  <si>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</si>
  <si>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</si>
  <si>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</si>
  <si>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</si>
  <si>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</si>
  <si>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</si>
  <si>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</si>
  <si>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</si>
  <si>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</si>
  <si>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</si>
  <si>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</si>
  <si>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</si>
  <si>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</si>
  <si>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</si>
  <si>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</si>
  <si>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</si>
  <si>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</si>
  <si>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</si>
  <si>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</si>
  <si>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</si>
  <si>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</si>
  <si>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</si>
  <si>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</si>
  <si>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</si>
  <si>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</si>
  <si>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</si>
  <si>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</si>
  <si>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</si>
  <si>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</si>
  <si>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</si>
  <si>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</si>
  <si>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</si>
  <si>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</si>
  <si>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</si>
  <si>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</si>
  <si>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</si>
  <si>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</si>
  <si>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</si>
  <si>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</si>
  <si>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</si>
  <si>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</si>
  <si>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</si>
  <si>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</si>
  <si>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</si>
  <si>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</si>
  <si>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12072</t>
  </si>
  <si>
    <t>東海東京証券</t>
  </si>
  <si>
    <t>Tokai Tokyo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</si>
  <si>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</si>
  <si>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</si>
  <si>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</si>
  <si>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</si>
  <si>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</si>
  <si>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</si>
  <si>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</si>
  <si>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</si>
  <si>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</si>
  <si>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</si>
  <si>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</si>
  <si>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</si>
  <si>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11272</t>
  </si>
  <si>
    <t>岡三証券</t>
  </si>
  <si>
    <t>OKASAN SECURITIES</t>
  </si>
  <si>
    <t>161120005</t>
  </si>
  <si>
    <t>TOPIX FUT 2612</t>
  </si>
  <si>
    <t>NK225E</t>
  </si>
  <si>
    <t>131327018</t>
  </si>
  <si>
    <t>NIKKEI 225 OOP P2608-67000</t>
  </si>
  <si>
    <t>131328018</t>
  </si>
  <si>
    <t>NIKKEI 225 OOP P2608-68000</t>
  </si>
  <si>
    <t>141328018</t>
  </si>
  <si>
    <t>NIKKEI 225 OOP C2608-68000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</si>
</sst>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2164.0</f>
        <v>2164.0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2024.0</f>
        <v>2024.0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1479.0</f>
        <v>1479.0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1000.0</f>
        <v>1000.0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649.0</f>
        <v>649.0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465.0</f>
        <v>465.0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378.0</f>
        <v>378.0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326.0</f>
        <v>326.0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278.0</f>
        <v>278.0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266.0</f>
        <v>266.0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251.0</f>
        <v>251.0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250.0</f>
        <v>250.0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226.0</f>
        <v>226.0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150.0</f>
        <v>150.0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124.0</f>
        <v>124.0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82.0</f>
        <v>82.0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75.0</f>
        <v>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72.0</f>
        <v>72.0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36.0</f>
        <v>36.0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135.0</f>
        <v>135.0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90.0</f>
        <v>90.0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45.0</f>
        <v>45.0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16.0</f>
        <v>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10000.0</f>
        <v>10000.0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13</v>
      </c>
      <c r="F37" s="4" t="s">
        <v>14</v>
      </c>
      <c r="G37" s="4" t="s">
        <v>15</v>
      </c>
      <c r="H37" s="5" t="n">
        <f>8500.0</f>
        <v>8500.0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19</v>
      </c>
      <c r="F38" s="4" t="s">
        <v>20</v>
      </c>
      <c r="G38" s="4" t="s">
        <v>21</v>
      </c>
      <c r="H38" s="5" t="n">
        <f>4050.0</f>
        <v>4050.0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46</v>
      </c>
      <c r="F39" s="4" t="s">
        <v>47</v>
      </c>
      <c r="G39" s="4" t="s">
        <v>48</v>
      </c>
      <c r="H39" s="5" t="n">
        <f>1862.0</f>
        <v>1862.0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25</v>
      </c>
      <c r="F40" s="4" t="s">
        <v>26</v>
      </c>
      <c r="G40" s="4" t="s">
        <v>27</v>
      </c>
      <c r="H40" s="5" t="n">
        <f>1500.0</f>
        <v>1500.0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55</v>
      </c>
      <c r="F41" s="4" t="s">
        <v>56</v>
      </c>
      <c r="G41" s="4" t="s">
        <v>57</v>
      </c>
      <c r="H41" s="5" t="n">
        <f>280.0</f>
        <v>280.0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19</v>
      </c>
      <c r="F42" s="4" t="s">
        <v>20</v>
      </c>
      <c r="G42" s="4" t="s">
        <v>21</v>
      </c>
      <c r="H42" s="5" t="n">
        <f>40956.0</f>
        <v>40956.0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46</v>
      </c>
      <c r="F43" s="4" t="s">
        <v>47</v>
      </c>
      <c r="G43" s="4" t="s">
        <v>48</v>
      </c>
      <c r="H43" s="5" t="n">
        <f>25294.0</f>
        <v>25294.0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55</v>
      </c>
      <c r="F44" s="4" t="s">
        <v>56</v>
      </c>
      <c r="G44" s="4" t="s">
        <v>57</v>
      </c>
      <c r="H44" s="5" t="n">
        <f>4774.0</f>
        <v>4774.0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16</v>
      </c>
      <c r="F45" s="4" t="s">
        <v>17</v>
      </c>
      <c r="G45" s="4" t="s">
        <v>18</v>
      </c>
      <c r="H45" s="5" t="n">
        <f>138.0</f>
        <v>138.0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40</v>
      </c>
      <c r="F46" s="4" t="s">
        <v>41</v>
      </c>
      <c r="G46" s="4" t="s">
        <v>42</v>
      </c>
      <c r="H46" s="5" t="n">
        <f>38.0</f>
        <v>38.0</v>
      </c>
    </row>
    <row r="47">
      <c r="A47" s="3" t="s">
        <v>75</v>
      </c>
      <c r="B47" s="4" t="s">
        <v>78</v>
      </c>
      <c r="C47" s="4" t="s">
        <v>79</v>
      </c>
      <c r="D47" s="3" t="n">
        <v>6.0</v>
      </c>
      <c r="E47" s="4" t="s">
        <v>37</v>
      </c>
      <c r="F47" s="4" t="s">
        <v>38</v>
      </c>
      <c r="G47" s="4" t="s">
        <v>39</v>
      </c>
      <c r="H47" s="5" t="n">
        <f>6.0</f>
        <v>6.0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55</v>
      </c>
      <c r="F48" s="4" t="s">
        <v>56</v>
      </c>
      <c r="G48" s="4" t="s">
        <v>57</v>
      </c>
      <c r="H48" s="5" t="n">
        <f>10.0</f>
        <v>10.0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19</v>
      </c>
      <c r="F49" s="4" t="s">
        <v>20</v>
      </c>
      <c r="G49" s="4" t="s">
        <v>21</v>
      </c>
      <c r="H49" s="5" t="n">
        <f>2.0</f>
        <v>2.0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37</v>
      </c>
      <c r="F50" s="4" t="s">
        <v>38</v>
      </c>
      <c r="G50" s="4" t="s">
        <v>39</v>
      </c>
      <c r="H50" s="5" t="n">
        <f>2292.0</f>
        <v>2292.0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22</v>
      </c>
      <c r="F51" s="4" t="s">
        <v>23</v>
      </c>
      <c r="G51" s="4" t="s">
        <v>24</v>
      </c>
      <c r="H51" s="5" t="n">
        <f>1340.0</f>
        <v>1340.0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34</v>
      </c>
      <c r="F52" s="4" t="s">
        <v>35</v>
      </c>
      <c r="G52" s="4" t="s">
        <v>36</v>
      </c>
      <c r="H52" s="5" t="n">
        <f>1200.0</f>
        <v>1200.0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43</v>
      </c>
      <c r="F53" s="4" t="s">
        <v>44</v>
      </c>
      <c r="G53" s="4" t="s">
        <v>45</v>
      </c>
      <c r="H53" s="5" t="n">
        <f>1028.0</f>
        <v>1028.0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16</v>
      </c>
      <c r="F54" s="4" t="s">
        <v>17</v>
      </c>
      <c r="G54" s="4" t="s">
        <v>18</v>
      </c>
      <c r="H54" s="5" t="n">
        <f>949.0</f>
        <v>949.0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13</v>
      </c>
      <c r="F55" s="4" t="s">
        <v>14</v>
      </c>
      <c r="G55" s="4" t="s">
        <v>15</v>
      </c>
      <c r="H55" s="5" t="n">
        <f>674.0</f>
        <v>674.0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25</v>
      </c>
      <c r="F56" s="4" t="s">
        <v>26</v>
      </c>
      <c r="G56" s="4" t="s">
        <v>27</v>
      </c>
      <c r="H56" s="5" t="n">
        <f>580.0</f>
        <v>580.0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28</v>
      </c>
      <c r="F57" s="4" t="s">
        <v>29</v>
      </c>
      <c r="G57" s="4" t="s">
        <v>30</v>
      </c>
      <c r="H57" s="5" t="n">
        <f>512.0</f>
        <v>512.0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58</v>
      </c>
      <c r="F58" s="4" t="s">
        <v>59</v>
      </c>
      <c r="G58" s="4" t="s">
        <v>60</v>
      </c>
      <c r="H58" s="5" t="n">
        <f>497.0</f>
        <v>497.0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49</v>
      </c>
      <c r="F59" s="4" t="s">
        <v>50</v>
      </c>
      <c r="G59" s="4" t="s">
        <v>51</v>
      </c>
      <c r="H59" s="5" t="n">
        <f>360.0</f>
        <v>360.0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19</v>
      </c>
      <c r="F60" s="4" t="s">
        <v>20</v>
      </c>
      <c r="G60" s="4" t="s">
        <v>21</v>
      </c>
      <c r="H60" s="5" t="n">
        <f>296.0</f>
        <v>296.0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31</v>
      </c>
      <c r="F61" s="4" t="s">
        <v>32</v>
      </c>
      <c r="G61" s="4" t="s">
        <v>33</v>
      </c>
      <c r="H61" s="5" t="n">
        <f>110.0</f>
        <v>110.0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40</v>
      </c>
      <c r="F62" s="4" t="s">
        <v>41</v>
      </c>
      <c r="G62" s="4" t="s">
        <v>42</v>
      </c>
      <c r="H62" s="5" t="n">
        <f>100.0</f>
        <v>100.0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61</v>
      </c>
      <c r="F63" s="4" t="s">
        <v>62</v>
      </c>
      <c r="G63" s="4" t="s">
        <v>63</v>
      </c>
      <c r="H63" s="5" t="n">
        <f>84.0</f>
        <v>84.0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64</v>
      </c>
      <c r="F64" s="4" t="s">
        <v>65</v>
      </c>
      <c r="G64" s="4" t="s">
        <v>66</v>
      </c>
      <c r="H64" s="5" t="n">
        <f>60.0</f>
        <v>60.0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55</v>
      </c>
      <c r="F65" s="4" t="s">
        <v>56</v>
      </c>
      <c r="G65" s="4" t="s">
        <v>57</v>
      </c>
      <c r="H65" s="5" t="n">
        <f>12.0</f>
        <v>12.0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85</v>
      </c>
      <c r="F66" s="4" t="s">
        <v>86</v>
      </c>
      <c r="G66" s="4" t="s">
        <v>87</v>
      </c>
      <c r="H66" s="5" t="n">
        <f>2.0</f>
        <v>2.0</v>
      </c>
    </row>
    <row r="67">
      <c r="A67" s="3" t="s">
        <v>82</v>
      </c>
      <c r="B67" s="4" t="s">
        <v>88</v>
      </c>
      <c r="C67" s="4" t="s">
        <v>89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1200.0</f>
        <v>1200.0</v>
      </c>
    </row>
    <row r="68">
      <c r="A68" s="3" t="s">
        <v>82</v>
      </c>
      <c r="B68" s="4" t="s">
        <v>88</v>
      </c>
      <c r="C68" s="4" t="s">
        <v>89</v>
      </c>
      <c r="D68" s="3" t="n">
        <v>2.0</v>
      </c>
      <c r="E68" s="4" t="s">
        <v>22</v>
      </c>
      <c r="F68" s="4" t="s">
        <v>23</v>
      </c>
      <c r="G68" s="4" t="s">
        <v>24</v>
      </c>
      <c r="H68" s="5" t="n">
        <f>1100.0</f>
        <v>1100.0</v>
      </c>
    </row>
    <row r="69">
      <c r="A69" s="3" t="s">
        <v>82</v>
      </c>
      <c r="B69" s="4" t="s">
        <v>88</v>
      </c>
      <c r="C69" s="4" t="s">
        <v>89</v>
      </c>
      <c r="D69" s="3" t="n">
        <v>3.0</v>
      </c>
      <c r="E69" s="4" t="s">
        <v>43</v>
      </c>
      <c r="F69" s="4" t="s">
        <v>44</v>
      </c>
      <c r="G69" s="4" t="s">
        <v>45</v>
      </c>
      <c r="H69" s="5" t="n">
        <f>900.0</f>
        <v>900.0</v>
      </c>
    </row>
    <row r="70">
      <c r="A70" s="3" t="s">
        <v>82</v>
      </c>
      <c r="B70" s="4" t="s">
        <v>88</v>
      </c>
      <c r="C70" s="4" t="s">
        <v>89</v>
      </c>
      <c r="D70" s="3" t="n">
        <v>4.0</v>
      </c>
      <c r="E70" s="4" t="s">
        <v>16</v>
      </c>
      <c r="F70" s="4" t="s">
        <v>17</v>
      </c>
      <c r="G70" s="4" t="s">
        <v>18</v>
      </c>
      <c r="H70" s="5" t="n">
        <f>300.0</f>
        <v>300.0</v>
      </c>
    </row>
    <row r="71">
      <c r="A71" s="3" t="s">
        <v>82</v>
      </c>
      <c r="B71" s="4" t="s">
        <v>88</v>
      </c>
      <c r="C71" s="4" t="s">
        <v>89</v>
      </c>
      <c r="D71" s="3" t="n">
        <v>5.0</v>
      </c>
      <c r="E71" s="4" t="s">
        <v>25</v>
      </c>
      <c r="F71" s="4" t="s">
        <v>26</v>
      </c>
      <c r="G71" s="4" t="s">
        <v>27</v>
      </c>
      <c r="H71" s="5" t="n">
        <f>200.0</f>
        <v>200.0</v>
      </c>
    </row>
    <row r="72">
      <c r="A72" s="3" t="s">
        <v>82</v>
      </c>
      <c r="B72" s="4" t="s">
        <v>88</v>
      </c>
      <c r="C72" s="4" t="s">
        <v>89</v>
      </c>
      <c r="D72" s="3" t="n">
        <v>5.0</v>
      </c>
      <c r="E72" s="4" t="s">
        <v>13</v>
      </c>
      <c r="F72" s="4" t="s">
        <v>14</v>
      </c>
      <c r="G72" s="4" t="s">
        <v>15</v>
      </c>
      <c r="H72" s="5" t="n">
        <f>200.0</f>
        <v>200.0</v>
      </c>
    </row>
    <row r="73">
      <c r="A73" s="3" t="s">
        <v>82</v>
      </c>
      <c r="B73" s="4" t="s">
        <v>88</v>
      </c>
      <c r="C73" s="4" t="s">
        <v>89</v>
      </c>
      <c r="D73" s="3" t="n">
        <v>7.0</v>
      </c>
      <c r="E73" s="4" t="s">
        <v>40</v>
      </c>
      <c r="F73" s="4" t="s">
        <v>41</v>
      </c>
      <c r="G73" s="4" t="s">
        <v>42</v>
      </c>
      <c r="H73" s="5" t="n">
        <f>100.0</f>
        <v>100.0</v>
      </c>
    </row>
    <row r="74">
      <c r="A74" s="3" t="s">
        <v>90</v>
      </c>
      <c r="B74" s="4" t="s">
        <v>91</v>
      </c>
      <c r="C74" s="4" t="s">
        <v>92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216.0</f>
        <v>216.0</v>
      </c>
    </row>
    <row r="75">
      <c r="A75" s="3" t="s">
        <v>90</v>
      </c>
      <c r="B75" s="4" t="s">
        <v>91</v>
      </c>
      <c r="C75" s="4" t="s">
        <v>92</v>
      </c>
      <c r="D75" s="3" t="n">
        <v>2.0</v>
      </c>
      <c r="E75" s="4" t="s">
        <v>43</v>
      </c>
      <c r="F75" s="4" t="s">
        <v>44</v>
      </c>
      <c r="G75" s="4" t="s">
        <v>45</v>
      </c>
      <c r="H75" s="5" t="n">
        <f>200.0</f>
        <v>200.0</v>
      </c>
    </row>
    <row r="76">
      <c r="A76" s="3" t="s">
        <v>90</v>
      </c>
      <c r="B76" s="4" t="s">
        <v>91</v>
      </c>
      <c r="C76" s="4" t="s">
        <v>92</v>
      </c>
      <c r="D76" s="3" t="n">
        <v>3.0</v>
      </c>
      <c r="E76" s="4" t="s">
        <v>46</v>
      </c>
      <c r="F76" s="4" t="s">
        <v>47</v>
      </c>
      <c r="G76" s="4" t="s">
        <v>48</v>
      </c>
      <c r="H76" s="5" t="n">
        <f>20.0</f>
        <v>20.0</v>
      </c>
    </row>
    <row r="77">
      <c r="A77" s="3" t="s">
        <v>90</v>
      </c>
      <c r="B77" s="4" t="s">
        <v>91</v>
      </c>
      <c r="C77" s="4" t="s">
        <v>92</v>
      </c>
      <c r="D77" s="3" t="n">
        <v>4.0</v>
      </c>
      <c r="E77" s="4" t="s">
        <v>52</v>
      </c>
      <c r="F77" s="4" t="s">
        <v>53</v>
      </c>
      <c r="G77" s="4" t="s">
        <v>54</v>
      </c>
      <c r="H77" s="5" t="n">
        <f>16.0</f>
        <v>16.0</v>
      </c>
    </row>
    <row r="78">
      <c r="A78" s="3" t="s">
        <v>90</v>
      </c>
      <c r="B78" s="4" t="s">
        <v>91</v>
      </c>
      <c r="C78" s="4" t="s">
        <v>92</v>
      </c>
      <c r="D78" s="3" t="n">
        <v>5.0</v>
      </c>
      <c r="E78" s="4" t="s">
        <v>19</v>
      </c>
      <c r="F78" s="4" t="s">
        <v>20</v>
      </c>
      <c r="G78" s="4" t="s">
        <v>21</v>
      </c>
      <c r="H78" s="5" t="n">
        <f>4.0</f>
        <v>4.0</v>
      </c>
    </row>
    <row r="79">
      <c r="A79" s="3" t="s">
        <v>90</v>
      </c>
      <c r="B79" s="4" t="s">
        <v>93</v>
      </c>
      <c r="C79" s="4" t="s">
        <v>94</v>
      </c>
      <c r="D79" s="3" t="n">
        <v>1.0</v>
      </c>
      <c r="E79" s="4" t="s">
        <v>31</v>
      </c>
      <c r="F79" s="4" t="s">
        <v>32</v>
      </c>
      <c r="G79" s="4" t="s">
        <v>33</v>
      </c>
      <c r="H79" s="5" t="n">
        <f>300.0</f>
        <v>300.0</v>
      </c>
    </row>
    <row r="80">
      <c r="A80" s="3" t="s">
        <v>90</v>
      </c>
      <c r="B80" s="4" t="s">
        <v>93</v>
      </c>
      <c r="C80" s="4" t="s">
        <v>94</v>
      </c>
      <c r="D80" s="3" t="n">
        <v>2.0</v>
      </c>
      <c r="E80" s="4" t="s">
        <v>43</v>
      </c>
      <c r="F80" s="4" t="s">
        <v>44</v>
      </c>
      <c r="G80" s="4" t="s">
        <v>45</v>
      </c>
      <c r="H80" s="5" t="n">
        <f>200.0</f>
        <v>200.0</v>
      </c>
    </row>
    <row r="81">
      <c r="A81" s="3" t="s">
        <v>90</v>
      </c>
      <c r="B81" s="4" t="s">
        <v>93</v>
      </c>
      <c r="C81" s="4" t="s">
        <v>94</v>
      </c>
      <c r="D81" s="3" t="n">
        <v>3.0</v>
      </c>
      <c r="E81" s="4" t="s">
        <v>13</v>
      </c>
      <c r="F81" s="4" t="s">
        <v>14</v>
      </c>
      <c r="G81" s="4" t="s">
        <v>15</v>
      </c>
      <c r="H81" s="5" t="n">
        <f>100.0</f>
        <v>100.0</v>
      </c>
    </row>
    <row r="82">
      <c r="A82" s="3" t="s">
        <v>90</v>
      </c>
      <c r="B82" s="4" t="s">
        <v>93</v>
      </c>
      <c r="C82" s="4" t="s">
        <v>94</v>
      </c>
      <c r="D82" s="3" t="n">
        <v>4.0</v>
      </c>
      <c r="E82" s="4" t="s">
        <v>46</v>
      </c>
      <c r="F82" s="4" t="s">
        <v>47</v>
      </c>
      <c r="G82" s="4" t="s">
        <v>48</v>
      </c>
      <c r="H82" s="5" t="n">
        <f>2.0</f>
        <v>2.0</v>
      </c>
    </row>
    <row r="83">
      <c r="A83" s="3" t="s">
        <v>90</v>
      </c>
      <c r="B83" s="4" t="s">
        <v>95</v>
      </c>
      <c r="C83" s="4" t="s">
        <v>96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