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<sst xmlns="http://schemas.openxmlformats.org/spreadsheetml/2006/main" count="442" uniqueCount="99">
  <si>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</si>
  <si>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</si>
  <si>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</si>
  <si>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</si>
  <si>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</si>
  <si>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</si>
  <si>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</si>
  <si>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</si>
  <si>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</si>
  <si>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20260327</t>
  </si>
  <si>
    <t>NK225F</t>
  </si>
  <si>
    <t>161060018</t>
  </si>
  <si>
    <t>NIKKEI 225 FUT 2606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</si>
  <si>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</si>
  <si>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</si>
  <si>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</si>
  <si>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</si>
  <si>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</si>
  <si>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</si>
  <si>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</si>
  <si>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</si>
  <si>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</si>
  <si>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</si>
  <si>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</si>
  <si>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</si>
  <si>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</si>
  <si>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</si>
  <si>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</si>
  <si>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</si>
  <si>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</si>
  <si>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</si>
  <si>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</si>
  <si>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</si>
  <si>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</si>
  <si>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</si>
  <si>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</si>
  <si>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</si>
  <si>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</si>
  <si>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</si>
  <si>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</si>
  <si>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</si>
  <si>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</si>
  <si>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</si>
  <si>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</si>
  <si>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</si>
  <si>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</si>
  <si>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</si>
  <si>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</si>
  <si>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</si>
  <si>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</si>
  <si>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</si>
  <si>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</si>
  <si>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</si>
  <si>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</si>
  <si>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</si>
  <si>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</si>
  <si>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</si>
  <si>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</si>
  <si>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</si>
  <si>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</si>
  <si>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</si>
  <si>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</si>
  <si>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</si>
  <si>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</si>
  <si>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11272</t>
  </si>
  <si>
    <t>岡三証券</t>
  </si>
  <si>
    <t>OKASAN SECURITIES</t>
  </si>
  <si>
    <t>12328</t>
  </si>
  <si>
    <t>ＳＭＢＣ日興証券</t>
  </si>
  <si>
    <t>SMBC Nikko Securities</t>
  </si>
  <si>
    <t>11696</t>
  </si>
  <si>
    <t>みずほ証券</t>
  </si>
  <si>
    <t>Mizuho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</si>
  <si>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</si>
  <si>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</si>
  <si>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</si>
  <si>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</si>
  <si>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</si>
  <si>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</si>
  <si>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</si>
  <si>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</si>
  <si>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</si>
  <si>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</si>
  <si>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</si>
  <si>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</si>
  <si>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12724</t>
  </si>
  <si>
    <t>ＨＳＢＣ証券</t>
  </si>
  <si>
    <t>HSBC Securities (Japan)</t>
  </si>
  <si>
    <t>NK225E</t>
  </si>
  <si>
    <t>131162518</t>
  </si>
  <si>
    <t>NIKKEI 225 OOP P2604-52500</t>
  </si>
  <si>
    <t>131162718</t>
  </si>
  <si>
    <t>NIKKEI 225 OOP P2604-52750</t>
  </si>
  <si>
    <t>181163018</t>
  </si>
  <si>
    <t>NIKKEI 225 OOP P2604-53000</t>
  </si>
  <si>
    <t>191164018</t>
  </si>
  <si>
    <t>NIKKEI 225 OOP C2604-54000</t>
  </si>
  <si>
    <t>141163518</t>
  </si>
  <si>
    <t>NIKKEI 225 OOP C2604-53500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</si>
</sst>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2624.0</f>
        <v>2624.0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2384.0</f>
        <v>2384.0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2074.0</f>
        <v>2074.0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1315.0</f>
        <v>1315.0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1269.0</f>
        <v>1269.0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1231.0</f>
        <v>1231.0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1009.0</f>
        <v>1009.0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912.0</f>
        <v>912.0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743.0</f>
        <v>743.0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466.0</f>
        <v>466.0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331.0</f>
        <v>331.0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330.0</f>
        <v>330.0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317.0</f>
        <v>317.0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268.0</f>
        <v>268.0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139.0</f>
        <v>139.0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72.0</f>
        <v>72.0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39.0</f>
        <v>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30.0</f>
        <v>30.0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30.0</f>
        <v>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17.0</f>
        <v>17.0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2.0</f>
        <v>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5000.0</f>
        <v>5000.0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5000.0</f>
        <v>5000.0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31</v>
      </c>
      <c r="F32" s="4" t="s">
        <v>32</v>
      </c>
      <c r="G32" s="4" t="s">
        <v>33</v>
      </c>
      <c r="H32" s="5" t="n">
        <f>4532.0</f>
        <v>4532.0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40</v>
      </c>
      <c r="F33" s="4" t="s">
        <v>41</v>
      </c>
      <c r="G33" s="4" t="s">
        <v>42</v>
      </c>
      <c r="H33" s="5" t="n">
        <f>2498.0</f>
        <v>2498.0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13</v>
      </c>
      <c r="F34" s="4" t="s">
        <v>14</v>
      </c>
      <c r="G34" s="4" t="s">
        <v>15</v>
      </c>
      <c r="H34" s="5" t="n">
        <f>2000.0</f>
        <v>2000.0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34</v>
      </c>
      <c r="F35" s="4" t="s">
        <v>35</v>
      </c>
      <c r="G35" s="4" t="s">
        <v>36</v>
      </c>
      <c r="H35" s="5" t="n">
        <f>2000.0</f>
        <v>2000.0</v>
      </c>
    </row>
    <row r="36">
      <c r="A36" s="3" t="s">
        <v>75</v>
      </c>
      <c r="B36" s="4" t="s">
        <v>76</v>
      </c>
      <c r="C36" s="4" t="s">
        <v>77</v>
      </c>
      <c r="D36" s="3" t="n">
        <v>7.0</v>
      </c>
      <c r="E36" s="4" t="s">
        <v>58</v>
      </c>
      <c r="F36" s="4" t="s">
        <v>59</v>
      </c>
      <c r="G36" s="4" t="s">
        <v>60</v>
      </c>
      <c r="H36" s="5" t="n">
        <f>378.0</f>
        <v>378.0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31</v>
      </c>
      <c r="F37" s="4" t="s">
        <v>32</v>
      </c>
      <c r="G37" s="4" t="s">
        <v>33</v>
      </c>
      <c r="H37" s="5" t="n">
        <f>72.0</f>
        <v>72.0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50.0</f>
        <v>50.0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58</v>
      </c>
      <c r="F39" s="4" t="s">
        <v>59</v>
      </c>
      <c r="G39" s="4" t="s">
        <v>60</v>
      </c>
      <c r="H39" s="5" t="n">
        <f>10.0</f>
        <v>10.0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31</v>
      </c>
      <c r="F40" s="4" t="s">
        <v>32</v>
      </c>
      <c r="G40" s="4" t="s">
        <v>33</v>
      </c>
      <c r="H40" s="5" t="n">
        <f>64610.0</f>
        <v>64610.0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40</v>
      </c>
      <c r="F41" s="4" t="s">
        <v>41</v>
      </c>
      <c r="G41" s="4" t="s">
        <v>42</v>
      </c>
      <c r="H41" s="5" t="n">
        <f>31072.0</f>
        <v>31072.0</v>
      </c>
    </row>
    <row r="42">
      <c r="A42" s="3" t="s">
        <v>75</v>
      </c>
      <c r="B42" s="4" t="s">
        <v>80</v>
      </c>
      <c r="C42" s="4" t="s">
        <v>81</v>
      </c>
      <c r="D42" s="3" t="n">
        <v>3.0</v>
      </c>
      <c r="E42" s="4" t="s">
        <v>58</v>
      </c>
      <c r="F42" s="4" t="s">
        <v>59</v>
      </c>
      <c r="G42" s="4" t="s">
        <v>60</v>
      </c>
      <c r="H42" s="5" t="n">
        <f>6902.0</f>
        <v>6902.0</v>
      </c>
    </row>
    <row r="43">
      <c r="A43" s="3" t="s">
        <v>75</v>
      </c>
      <c r="B43" s="4" t="s">
        <v>80</v>
      </c>
      <c r="C43" s="4" t="s">
        <v>81</v>
      </c>
      <c r="D43" s="3" t="n">
        <v>4.0</v>
      </c>
      <c r="E43" s="4" t="s">
        <v>37</v>
      </c>
      <c r="F43" s="4" t="s">
        <v>38</v>
      </c>
      <c r="G43" s="4" t="s">
        <v>39</v>
      </c>
      <c r="H43" s="5" t="n">
        <f>76.0</f>
        <v>76.0</v>
      </c>
    </row>
    <row r="44">
      <c r="A44" s="3" t="s">
        <v>75</v>
      </c>
      <c r="B44" s="4" t="s">
        <v>80</v>
      </c>
      <c r="C44" s="4" t="s">
        <v>81</v>
      </c>
      <c r="D44" s="3" t="n">
        <v>5.0</v>
      </c>
      <c r="E44" s="4" t="s">
        <v>22</v>
      </c>
      <c r="F44" s="4" t="s">
        <v>23</v>
      </c>
      <c r="G44" s="4" t="s">
        <v>24</v>
      </c>
      <c r="H44" s="5" t="n">
        <f>54.0</f>
        <v>54.0</v>
      </c>
    </row>
    <row r="45">
      <c r="A45" s="3" t="s">
        <v>75</v>
      </c>
      <c r="B45" s="4" t="s">
        <v>80</v>
      </c>
      <c r="C45" s="4" t="s">
        <v>81</v>
      </c>
      <c r="D45" s="3" t="n">
        <v>6.0</v>
      </c>
      <c r="E45" s="4" t="s">
        <v>70</v>
      </c>
      <c r="F45" s="4" t="s">
        <v>71</v>
      </c>
      <c r="G45" s="4" t="s">
        <v>72</v>
      </c>
      <c r="H45" s="5" t="n">
        <f>10.0</f>
        <v>10.0</v>
      </c>
    </row>
    <row r="46">
      <c r="A46" s="3" t="s">
        <v>75</v>
      </c>
      <c r="B46" s="4" t="s">
        <v>80</v>
      </c>
      <c r="C46" s="4" t="s">
        <v>81</v>
      </c>
      <c r="D46" s="3" t="n">
        <v>7.0</v>
      </c>
      <c r="E46" s="4" t="s">
        <v>19</v>
      </c>
      <c r="F46" s="4" t="s">
        <v>20</v>
      </c>
      <c r="G46" s="4" t="s">
        <v>21</v>
      </c>
      <c r="H46" s="5" t="n">
        <f>8.0</f>
        <v>8.0</v>
      </c>
    </row>
    <row r="47">
      <c r="A47" s="3" t="s">
        <v>75</v>
      </c>
      <c r="B47" s="4" t="s">
        <v>80</v>
      </c>
      <c r="C47" s="4" t="s">
        <v>81</v>
      </c>
      <c r="D47" s="3" t="n">
        <v>7.0</v>
      </c>
      <c r="E47" s="4" t="s">
        <v>16</v>
      </c>
      <c r="F47" s="4" t="s">
        <v>17</v>
      </c>
      <c r="G47" s="4" t="s">
        <v>18</v>
      </c>
      <c r="H47" s="5" t="n">
        <f>8.0</f>
        <v>8.0</v>
      </c>
    </row>
    <row r="48">
      <c r="A48" s="3" t="s">
        <v>75</v>
      </c>
      <c r="B48" s="4" t="s">
        <v>80</v>
      </c>
      <c r="C48" s="4" t="s">
        <v>81</v>
      </c>
      <c r="D48" s="3" t="n">
        <v>9.0</v>
      </c>
      <c r="E48" s="4" t="s">
        <v>28</v>
      </c>
      <c r="F48" s="4" t="s">
        <v>29</v>
      </c>
      <c r="G48" s="4" t="s">
        <v>30</v>
      </c>
      <c r="H48" s="5" t="n">
        <f>6.0</f>
        <v>6.0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22</v>
      </c>
      <c r="F49" s="4" t="s">
        <v>23</v>
      </c>
      <c r="G49" s="4" t="s">
        <v>24</v>
      </c>
      <c r="H49" s="5" t="n">
        <f>16274.0</f>
        <v>16274.0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70</v>
      </c>
      <c r="F50" s="4" t="s">
        <v>71</v>
      </c>
      <c r="G50" s="4" t="s">
        <v>72</v>
      </c>
      <c r="H50" s="5" t="n">
        <f>12383.0</f>
        <v>12383.0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25</v>
      </c>
      <c r="F51" s="4" t="s">
        <v>26</v>
      </c>
      <c r="G51" s="4" t="s">
        <v>27</v>
      </c>
      <c r="H51" s="5" t="n">
        <f>7633.0</f>
        <v>7633.0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28</v>
      </c>
      <c r="F52" s="4" t="s">
        <v>29</v>
      </c>
      <c r="G52" s="4" t="s">
        <v>30</v>
      </c>
      <c r="H52" s="5" t="n">
        <f>7531.0</f>
        <v>7531.0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13</v>
      </c>
      <c r="F53" s="4" t="s">
        <v>14</v>
      </c>
      <c r="G53" s="4" t="s">
        <v>15</v>
      </c>
      <c r="H53" s="5" t="n">
        <f>6048.0</f>
        <v>6048.0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43</v>
      </c>
      <c r="F54" s="4" t="s">
        <v>44</v>
      </c>
      <c r="G54" s="4" t="s">
        <v>45</v>
      </c>
      <c r="H54" s="5" t="n">
        <f>5360.0</f>
        <v>5360.0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46</v>
      </c>
      <c r="F55" s="4" t="s">
        <v>47</v>
      </c>
      <c r="G55" s="4" t="s">
        <v>48</v>
      </c>
      <c r="H55" s="5" t="n">
        <f>3658.0</f>
        <v>3658.0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37</v>
      </c>
      <c r="F56" s="4" t="s">
        <v>38</v>
      </c>
      <c r="G56" s="4" t="s">
        <v>39</v>
      </c>
      <c r="H56" s="5" t="n">
        <f>3625.0</f>
        <v>3625.0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19</v>
      </c>
      <c r="F57" s="4" t="s">
        <v>20</v>
      </c>
      <c r="G57" s="4" t="s">
        <v>21</v>
      </c>
      <c r="H57" s="5" t="n">
        <f>3508.0</f>
        <v>3508.0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31</v>
      </c>
      <c r="F58" s="4" t="s">
        <v>32</v>
      </c>
      <c r="G58" s="4" t="s">
        <v>33</v>
      </c>
      <c r="H58" s="5" t="n">
        <f>2790.0</f>
        <v>2790.0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16</v>
      </c>
      <c r="F59" s="4" t="s">
        <v>17</v>
      </c>
      <c r="G59" s="4" t="s">
        <v>18</v>
      </c>
      <c r="H59" s="5" t="n">
        <f>1212.0</f>
        <v>1212.0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55</v>
      </c>
      <c r="F60" s="4" t="s">
        <v>56</v>
      </c>
      <c r="G60" s="4" t="s">
        <v>57</v>
      </c>
      <c r="H60" s="5" t="n">
        <f>1090.0</f>
        <v>1090.0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52</v>
      </c>
      <c r="F61" s="4" t="s">
        <v>53</v>
      </c>
      <c r="G61" s="4" t="s">
        <v>54</v>
      </c>
      <c r="H61" s="5" t="n">
        <f>648.0</f>
        <v>648.0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67</v>
      </c>
      <c r="F62" s="4" t="s">
        <v>68</v>
      </c>
      <c r="G62" s="4" t="s">
        <v>69</v>
      </c>
      <c r="H62" s="5" t="n">
        <f>606.0</f>
        <v>606.0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34</v>
      </c>
      <c r="F63" s="4" t="s">
        <v>35</v>
      </c>
      <c r="G63" s="4" t="s">
        <v>36</v>
      </c>
      <c r="H63" s="5" t="n">
        <f>565.0</f>
        <v>565.0</v>
      </c>
    </row>
    <row r="64">
      <c r="A64" s="3" t="s">
        <v>82</v>
      </c>
      <c r="B64" s="4" t="s">
        <v>83</v>
      </c>
      <c r="C64" s="4" t="s">
        <v>84</v>
      </c>
      <c r="D64" s="3" t="n">
        <v>16.0</v>
      </c>
      <c r="E64" s="4" t="s">
        <v>49</v>
      </c>
      <c r="F64" s="4" t="s">
        <v>50</v>
      </c>
      <c r="G64" s="4" t="s">
        <v>51</v>
      </c>
      <c r="H64" s="5" t="n">
        <f>470.0</f>
        <v>470.0</v>
      </c>
    </row>
    <row r="65">
      <c r="A65" s="3" t="s">
        <v>82</v>
      </c>
      <c r="B65" s="4" t="s">
        <v>83</v>
      </c>
      <c r="C65" s="4" t="s">
        <v>84</v>
      </c>
      <c r="D65" s="3" t="n">
        <v>17.0</v>
      </c>
      <c r="E65" s="4" t="s">
        <v>85</v>
      </c>
      <c r="F65" s="4" t="s">
        <v>86</v>
      </c>
      <c r="G65" s="4" t="s">
        <v>87</v>
      </c>
      <c r="H65" s="5" t="n">
        <f>65.0</f>
        <v>65.0</v>
      </c>
    </row>
    <row r="66">
      <c r="A66" s="3" t="s">
        <v>82</v>
      </c>
      <c r="B66" s="4" t="s">
        <v>83</v>
      </c>
      <c r="C66" s="4" t="s">
        <v>84</v>
      </c>
      <c r="D66" s="3" t="n">
        <v>18.0</v>
      </c>
      <c r="E66" s="4" t="s">
        <v>58</v>
      </c>
      <c r="F66" s="4" t="s">
        <v>59</v>
      </c>
      <c r="G66" s="4" t="s">
        <v>60</v>
      </c>
      <c r="H66" s="5" t="n">
        <f>38.0</f>
        <v>38.0</v>
      </c>
    </row>
    <row r="67">
      <c r="A67" s="3" t="s">
        <v>88</v>
      </c>
      <c r="B67" s="4" t="s">
        <v>89</v>
      </c>
      <c r="C67" s="4" t="s">
        <v>90</v>
      </c>
      <c r="D67" s="3" t="n">
        <v>1.0</v>
      </c>
      <c r="E67" s="4" t="s">
        <v>31</v>
      </c>
      <c r="F67" s="4" t="s">
        <v>32</v>
      </c>
      <c r="G67" s="4" t="s">
        <v>33</v>
      </c>
      <c r="H67" s="5" t="n">
        <f>2.0</f>
        <v>2.0</v>
      </c>
    </row>
    <row r="68">
      <c r="A68" s="3" t="s">
        <v>88</v>
      </c>
      <c r="B68" s="4" t="s">
        <v>91</v>
      </c>
      <c r="C68" s="4" t="s">
        <v>92</v>
      </c>
      <c r="D68" s="3" t="n">
        <v>1.0</v>
      </c>
      <c r="E68" s="4" t="s">
        <v>31</v>
      </c>
      <c r="F68" s="4" t="s">
        <v>32</v>
      </c>
      <c r="G68" s="4" t="s">
        <v>33</v>
      </c>
      <c r="H68" s="5" t="n">
        <f>2.0</f>
        <v>2.0</v>
      </c>
    </row>
    <row r="69">
      <c r="A69" s="3" t="s">
        <v>88</v>
      </c>
      <c r="B69" s="4" t="s">
        <v>93</v>
      </c>
      <c r="C69" s="4" t="s">
        <v>94</v>
      </c>
      <c r="D69" s="3" t="n">
        <v>1.0</v>
      </c>
      <c r="E69" s="4" t="s">
        <v>43</v>
      </c>
      <c r="F69" s="4" t="s">
        <v>44</v>
      </c>
      <c r="G69" s="4" t="s">
        <v>45</v>
      </c>
      <c r="H69" s="5" t="n">
        <f>200.0</f>
        <v>200.0</v>
      </c>
    </row>
    <row r="70">
      <c r="A70" s="3" t="s">
        <v>88</v>
      </c>
      <c r="B70" s="4" t="s">
        <v>93</v>
      </c>
      <c r="C70" s="4" t="s">
        <v>94</v>
      </c>
      <c r="D70" s="3" t="n">
        <v>2.0</v>
      </c>
      <c r="E70" s="4" t="s">
        <v>31</v>
      </c>
      <c r="F70" s="4" t="s">
        <v>32</v>
      </c>
      <c r="G70" s="4" t="s">
        <v>33</v>
      </c>
      <c r="H70" s="5" t="n">
        <f>4.0</f>
        <v>4.0</v>
      </c>
    </row>
    <row r="71">
      <c r="A71" s="3" t="s">
        <v>88</v>
      </c>
      <c r="B71" s="4" t="s">
        <v>95</v>
      </c>
      <c r="C71" s="4" t="s">
        <v>96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300.0</f>
        <v>300.0</v>
      </c>
    </row>
    <row r="72">
      <c r="A72" s="3" t="s">
        <v>88</v>
      </c>
      <c r="B72" s="4" t="s">
        <v>95</v>
      </c>
      <c r="C72" s="4" t="s">
        <v>96</v>
      </c>
      <c r="D72" s="3" t="n">
        <v>1.0</v>
      </c>
      <c r="E72" s="4" t="s">
        <v>43</v>
      </c>
      <c r="F72" s="4" t="s">
        <v>44</v>
      </c>
      <c r="G72" s="4" t="s">
        <v>45</v>
      </c>
      <c r="H72" s="5" t="n">
        <f>300.0</f>
        <v>300.0</v>
      </c>
    </row>
    <row r="73">
      <c r="A73" s="3" t="s">
        <v>88</v>
      </c>
      <c r="B73" s="4" t="s">
        <v>95</v>
      </c>
      <c r="C73" s="4" t="s">
        <v>96</v>
      </c>
      <c r="D73" s="3" t="n">
        <v>3.0</v>
      </c>
      <c r="E73" s="4" t="s">
        <v>52</v>
      </c>
      <c r="F73" s="4" t="s">
        <v>53</v>
      </c>
      <c r="G73" s="4" t="s">
        <v>54</v>
      </c>
      <c r="H73" s="5" t="n">
        <f>200.0</f>
        <v>200.0</v>
      </c>
    </row>
    <row r="74">
      <c r="A74" s="3" t="s">
        <v>88</v>
      </c>
      <c r="B74" s="4" t="s">
        <v>95</v>
      </c>
      <c r="C74" s="4" t="s">
        <v>96</v>
      </c>
      <c r="D74" s="3" t="n">
        <v>3.0</v>
      </c>
      <c r="E74" s="4" t="s">
        <v>37</v>
      </c>
      <c r="F74" s="4" t="s">
        <v>38</v>
      </c>
      <c r="G74" s="4" t="s">
        <v>39</v>
      </c>
      <c r="H74" s="5" t="n">
        <f>200.0</f>
        <v>200.0</v>
      </c>
    </row>
    <row r="75">
      <c r="A75" s="3" t="s">
        <v>88</v>
      </c>
      <c r="B75" s="4" t="s">
        <v>95</v>
      </c>
      <c r="C75" s="4" t="s">
        <v>96</v>
      </c>
      <c r="D75" s="3" t="n">
        <v>5.0</v>
      </c>
      <c r="E75" s="4" t="s">
        <v>70</v>
      </c>
      <c r="F75" s="4" t="s">
        <v>71</v>
      </c>
      <c r="G75" s="4" t="s">
        <v>72</v>
      </c>
      <c r="H75" s="5" t="n">
        <f>100.0</f>
        <v>100.0</v>
      </c>
    </row>
    <row r="76">
      <c r="A76" s="3" t="s">
        <v>88</v>
      </c>
      <c r="B76" s="4" t="s">
        <v>95</v>
      </c>
      <c r="C76" s="4" t="s">
        <v>96</v>
      </c>
      <c r="D76" s="3" t="n">
        <v>5.0</v>
      </c>
      <c r="E76" s="4" t="s">
        <v>55</v>
      </c>
      <c r="F76" s="4" t="s">
        <v>56</v>
      </c>
      <c r="G76" s="4" t="s">
        <v>57</v>
      </c>
      <c r="H76" s="5" t="n">
        <f>100.0</f>
        <v>100.0</v>
      </c>
    </row>
    <row r="77">
      <c r="A77" s="3" t="s">
        <v>88</v>
      </c>
      <c r="B77" s="4" t="s">
        <v>95</v>
      </c>
      <c r="C77" s="4" t="s">
        <v>96</v>
      </c>
      <c r="D77" s="3" t="n">
        <v>7.0</v>
      </c>
      <c r="E77" s="4" t="s">
        <v>40</v>
      </c>
      <c r="F77" s="4" t="s">
        <v>41</v>
      </c>
      <c r="G77" s="4" t="s">
        <v>42</v>
      </c>
      <c r="H77" s="5" t="n">
        <f>48.0</f>
        <v>48.0</v>
      </c>
    </row>
    <row r="78">
      <c r="A78" s="3" t="s">
        <v>88</v>
      </c>
      <c r="B78" s="4" t="s">
        <v>95</v>
      </c>
      <c r="C78" s="4" t="s">
        <v>96</v>
      </c>
      <c r="D78" s="3" t="n">
        <v>8.0</v>
      </c>
      <c r="E78" s="4" t="s">
        <v>31</v>
      </c>
      <c r="F78" s="4" t="s">
        <v>32</v>
      </c>
      <c r="G78" s="4" t="s">
        <v>33</v>
      </c>
      <c r="H78" s="5" t="n">
        <f>6.0</f>
        <v>6.0</v>
      </c>
    </row>
    <row r="79">
      <c r="A79" s="3" t="s">
        <v>88</v>
      </c>
      <c r="B79" s="4" t="s">
        <v>97</v>
      </c>
      <c r="C79" s="4" t="s">
        <v>98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100.0</f>
        <v>100.0</v>
      </c>
    </row>
    <row r="80">
      <c r="A80" s="3" t="s">
        <v>88</v>
      </c>
      <c r="B80" s="4" t="s">
        <v>97</v>
      </c>
      <c r="C80" s="4" t="s">
        <v>98</v>
      </c>
      <c r="D80" s="3" t="n">
        <v>1.0</v>
      </c>
      <c r="E80" s="4" t="s">
        <v>34</v>
      </c>
      <c r="F80" s="4" t="s">
        <v>35</v>
      </c>
      <c r="G80" s="4" t="s">
        <v>36</v>
      </c>
      <c r="H80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