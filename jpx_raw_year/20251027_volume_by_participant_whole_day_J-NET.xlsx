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<sst xmlns="http://schemas.openxmlformats.org/spreadsheetml/2006/main" count="502" uniqueCount="110">
  <si>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</si>
  <si>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</si>
  <si>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</si>
  <si>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</si>
  <si>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</si>
  <si>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</si>
  <si>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</si>
  <si>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</si>
  <si>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</si>
  <si>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20251027</t>
  </si>
  <si>
    <t>NK225F</t>
  </si>
  <si>
    <t>160120018</t>
  </si>
  <si>
    <t>NIKKEI 225 FUT 2512</t>
  </si>
  <si>
    <t>11256</t>
  </si>
  <si>
    <t>ＳＢＩ証券</t>
  </si>
  <si>
    <t>SBI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</si>
  <si>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</si>
  <si>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</si>
  <si>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</si>
  <si>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</si>
  <si>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</si>
  <si>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</si>
  <si>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</si>
  <si>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</si>
  <si>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</si>
  <si>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</si>
  <si>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</si>
  <si>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</si>
  <si>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</si>
  <si>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</si>
  <si>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</si>
  <si>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</si>
  <si>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</si>
  <si>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</si>
  <si>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</si>
  <si>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</si>
  <si>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</si>
  <si>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</si>
  <si>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</si>
  <si>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</si>
  <si>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</si>
  <si>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</si>
  <si>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</si>
  <si>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</si>
  <si>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</si>
  <si>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</si>
  <si>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</si>
  <si>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</si>
  <si>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</si>
  <si>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</si>
  <si>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</si>
  <si>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</si>
  <si>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</si>
  <si>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</si>
  <si>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</si>
  <si>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11272</t>
  </si>
  <si>
    <t>岡三証券</t>
  </si>
  <si>
    <t>OKASAN SECURITIES</t>
  </si>
  <si>
    <t>11788</t>
  </si>
  <si>
    <t>ソシエテＧ証券</t>
  </si>
  <si>
    <t>Societe Generale Securities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</si>
  <si>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</si>
  <si>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</si>
  <si>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</si>
  <si>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</si>
  <si>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</si>
  <si>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</si>
  <si>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</si>
  <si>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</si>
  <si>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</si>
  <si>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</si>
  <si>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</si>
  <si>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</si>
  <si>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</si>
  <si>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</si>
  <si>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</si>
  <si>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</si>
  <si>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</si>
  <si>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</si>
  <si>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</si>
  <si>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</si>
  <si>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</si>
  <si>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</si>
  <si>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</si>
  <si>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</si>
  <si>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</si>
  <si>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</si>
  <si>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</si>
  <si>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12328</t>
  </si>
  <si>
    <t>ＳＭＢＣ日興証券</t>
  </si>
  <si>
    <t>SMBC Nikko Securities</t>
  </si>
  <si>
    <t>NK225E</t>
  </si>
  <si>
    <t>130239518</t>
  </si>
  <si>
    <t>NIKKEI 225 OOP P2511-49500</t>
  </si>
  <si>
    <t>130230018</t>
  </si>
  <si>
    <t>NIKKEI 225 OOP P2511-50000</t>
  </si>
  <si>
    <t>130230218</t>
  </si>
  <si>
    <t>NIKKEI 225 OOP P2511-50250</t>
  </si>
  <si>
    <t>130230518</t>
  </si>
  <si>
    <t>NIKKEI 225 OOP P2511-50500</t>
  </si>
  <si>
    <t>140231518</t>
  </si>
  <si>
    <t>NIKKEI 225 OOP C2511-51500</t>
  </si>
  <si>
    <t>140231018</t>
  </si>
  <si>
    <t>NIKKEI 225 OOP C2511-51000</t>
  </si>
  <si>
    <t>140230718</t>
  </si>
  <si>
    <t>NIKKEI 225 OOP C2511-50750</t>
  </si>
  <si>
    <t>140230518</t>
  </si>
  <si>
    <t>NIKKEI 225 OOP C2511-50500</t>
  </si>
  <si>
    <t>140230218</t>
  </si>
  <si>
    <t>NIKKEI 225 OOP C2511-50250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</si>
</sst>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3208.0</f>
        <v>3208.0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2227.0</f>
        <v>2227.0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1038.0</f>
        <v>1038.0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887.0</f>
        <v>887.0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886.0</f>
        <v>886.0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826.0</f>
        <v>826.0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810.0</f>
        <v>810.0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740.0</f>
        <v>740.0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349.0</f>
        <v>349.0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334.0</f>
        <v>334.0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329.0</f>
        <v>329.0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286.0</f>
        <v>286.0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179.0</f>
        <v>179.0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149.0</f>
        <v>149.0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148.0</f>
        <v>148.0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102.0</f>
        <v>102.0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90.0</f>
        <v>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74.0</f>
        <v>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66.0</f>
        <v>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70</v>
      </c>
      <c r="F29" s="4" t="s">
        <v>71</v>
      </c>
      <c r="G29" s="4" t="s">
        <v>72</v>
      </c>
      <c r="H29" s="5" t="n">
        <f>250.0</f>
        <v>250.0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67</v>
      </c>
      <c r="F30" s="4" t="s">
        <v>68</v>
      </c>
      <c r="G30" s="4" t="s">
        <v>69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3666.0</f>
        <v>3666.0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3212.0</f>
        <v>3212.0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446.0</f>
        <v>446.0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43514.0</f>
        <v>43514.0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28354.0</f>
        <v>28354.0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6004.0</f>
        <v>6004.0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72.0</f>
        <v>72.0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16.0</f>
        <v>16.0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25</v>
      </c>
      <c r="F42" s="4" t="s">
        <v>26</v>
      </c>
      <c r="G42" s="4" t="s">
        <v>27</v>
      </c>
      <c r="H42" s="5" t="n">
        <f>3.0</f>
        <v>3.0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80</v>
      </c>
      <c r="F43" s="4" t="s">
        <v>81</v>
      </c>
      <c r="G43" s="4" t="s">
        <v>82</v>
      </c>
      <c r="H43" s="5" t="n">
        <f>3.0</f>
        <v>3.0</v>
      </c>
    </row>
    <row r="44">
      <c r="A44" s="3" t="s">
        <v>75</v>
      </c>
      <c r="B44" s="4" t="s">
        <v>83</v>
      </c>
      <c r="C44" s="4" t="s">
        <v>84</v>
      </c>
      <c r="D44" s="3" t="n">
        <v>1.0</v>
      </c>
      <c r="E44" s="4" t="s">
        <v>46</v>
      </c>
      <c r="F44" s="4" t="s">
        <v>47</v>
      </c>
      <c r="G44" s="4" t="s">
        <v>48</v>
      </c>
      <c r="H44" s="5" t="n">
        <f>82.0</f>
        <v>82.0</v>
      </c>
    </row>
    <row r="45">
      <c r="A45" s="3" t="s">
        <v>75</v>
      </c>
      <c r="B45" s="4" t="s">
        <v>83</v>
      </c>
      <c r="C45" s="4" t="s">
        <v>84</v>
      </c>
      <c r="D45" s="3" t="n">
        <v>2.0</v>
      </c>
      <c r="E45" s="4" t="s">
        <v>13</v>
      </c>
      <c r="F45" s="4" t="s">
        <v>14</v>
      </c>
      <c r="G45" s="4" t="s">
        <v>15</v>
      </c>
      <c r="H45" s="5" t="n">
        <f>50.0</f>
        <v>50.0</v>
      </c>
    </row>
    <row r="46">
      <c r="A46" s="3" t="s">
        <v>75</v>
      </c>
      <c r="B46" s="4" t="s">
        <v>83</v>
      </c>
      <c r="C46" s="4" t="s">
        <v>84</v>
      </c>
      <c r="D46" s="3" t="n">
        <v>3.0</v>
      </c>
      <c r="E46" s="4" t="s">
        <v>61</v>
      </c>
      <c r="F46" s="4" t="s">
        <v>62</v>
      </c>
      <c r="G46" s="4" t="s">
        <v>63</v>
      </c>
      <c r="H46" s="5" t="n">
        <f>16.0</f>
        <v>16.0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49</v>
      </c>
      <c r="F47" s="4" t="s">
        <v>50</v>
      </c>
      <c r="G47" s="4" t="s">
        <v>51</v>
      </c>
      <c r="H47" s="5" t="n">
        <f>7797.0</f>
        <v>7797.0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19</v>
      </c>
      <c r="F48" s="4" t="s">
        <v>20</v>
      </c>
      <c r="G48" s="4" t="s">
        <v>21</v>
      </c>
      <c r="H48" s="5" t="n">
        <f>5200.0</f>
        <v>5200.0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34</v>
      </c>
      <c r="F49" s="4" t="s">
        <v>35</v>
      </c>
      <c r="G49" s="4" t="s">
        <v>36</v>
      </c>
      <c r="H49" s="5" t="n">
        <f>1900.0</f>
        <v>1900.0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25</v>
      </c>
      <c r="F50" s="4" t="s">
        <v>26</v>
      </c>
      <c r="G50" s="4" t="s">
        <v>27</v>
      </c>
      <c r="H50" s="5" t="n">
        <f>1825.0</f>
        <v>1825.0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88</v>
      </c>
      <c r="F51" s="4" t="s">
        <v>89</v>
      </c>
      <c r="G51" s="4" t="s">
        <v>90</v>
      </c>
      <c r="H51" s="5" t="n">
        <f>1729.0</f>
        <v>1729.0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31</v>
      </c>
      <c r="F52" s="4" t="s">
        <v>32</v>
      </c>
      <c r="G52" s="4" t="s">
        <v>33</v>
      </c>
      <c r="H52" s="5" t="n">
        <f>1650.0</f>
        <v>1650.0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22</v>
      </c>
      <c r="F53" s="4" t="s">
        <v>23</v>
      </c>
      <c r="G53" s="4" t="s">
        <v>24</v>
      </c>
      <c r="H53" s="5" t="n">
        <f>566.0</f>
        <v>566.0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37</v>
      </c>
      <c r="F54" s="4" t="s">
        <v>38</v>
      </c>
      <c r="G54" s="4" t="s">
        <v>39</v>
      </c>
      <c r="H54" s="5" t="n">
        <f>385.0</f>
        <v>385.0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64</v>
      </c>
      <c r="F55" s="4" t="s">
        <v>65</v>
      </c>
      <c r="G55" s="4" t="s">
        <v>66</v>
      </c>
      <c r="H55" s="5" t="n">
        <f>272.0</f>
        <v>272.0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40</v>
      </c>
      <c r="F56" s="4" t="s">
        <v>41</v>
      </c>
      <c r="G56" s="4" t="s">
        <v>42</v>
      </c>
      <c r="H56" s="5" t="n">
        <f>200.0</f>
        <v>200.0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16</v>
      </c>
      <c r="F57" s="4" t="s">
        <v>17</v>
      </c>
      <c r="G57" s="4" t="s">
        <v>18</v>
      </c>
      <c r="H57" s="5" t="n">
        <f>158.0</f>
        <v>158.0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28</v>
      </c>
      <c r="F58" s="4" t="s">
        <v>29</v>
      </c>
      <c r="G58" s="4" t="s">
        <v>30</v>
      </c>
      <c r="H58" s="5" t="n">
        <f>153.0</f>
        <v>153.0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43</v>
      </c>
      <c r="F59" s="4" t="s">
        <v>44</v>
      </c>
      <c r="G59" s="4" t="s">
        <v>45</v>
      </c>
      <c r="H59" s="5" t="n">
        <f>114.0</f>
        <v>114.0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13</v>
      </c>
      <c r="F60" s="4" t="s">
        <v>14</v>
      </c>
      <c r="G60" s="4" t="s">
        <v>15</v>
      </c>
      <c r="H60" s="5" t="n">
        <f>82.0</f>
        <v>82.0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58</v>
      </c>
      <c r="F61" s="4" t="s">
        <v>59</v>
      </c>
      <c r="G61" s="4" t="s">
        <v>60</v>
      </c>
      <c r="H61" s="5" t="n">
        <f>76.0</f>
        <v>76.0</v>
      </c>
    </row>
    <row r="62">
      <c r="A62" s="3" t="s">
        <v>85</v>
      </c>
      <c r="B62" s="4" t="s">
        <v>86</v>
      </c>
      <c r="C62" s="4" t="s">
        <v>87</v>
      </c>
      <c r="D62" s="3" t="n">
        <v>16.0</v>
      </c>
      <c r="E62" s="4" t="s">
        <v>80</v>
      </c>
      <c r="F62" s="4" t="s">
        <v>81</v>
      </c>
      <c r="G62" s="4" t="s">
        <v>82</v>
      </c>
      <c r="H62" s="5" t="n">
        <f>45.0</f>
        <v>45.0</v>
      </c>
    </row>
    <row r="63">
      <c r="A63" s="3" t="s">
        <v>85</v>
      </c>
      <c r="B63" s="4" t="s">
        <v>86</v>
      </c>
      <c r="C63" s="4" t="s">
        <v>87</v>
      </c>
      <c r="D63" s="3" t="n">
        <v>17.0</v>
      </c>
      <c r="E63" s="4" t="s">
        <v>61</v>
      </c>
      <c r="F63" s="4" t="s">
        <v>62</v>
      </c>
      <c r="G63" s="4" t="s">
        <v>63</v>
      </c>
      <c r="H63" s="5" t="n">
        <f>16.0</f>
        <v>16.0</v>
      </c>
    </row>
    <row r="64">
      <c r="A64" s="3" t="s">
        <v>91</v>
      </c>
      <c r="B64" s="4" t="s">
        <v>92</v>
      </c>
      <c r="C64" s="4" t="s">
        <v>93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16.0</f>
        <v>16.0</v>
      </c>
    </row>
    <row r="65">
      <c r="A65" s="3" t="s">
        <v>91</v>
      </c>
      <c r="B65" s="4" t="s">
        <v>94</v>
      </c>
      <c r="C65" s="4" t="s">
        <v>95</v>
      </c>
      <c r="D65" s="3" t="n">
        <v>1.0</v>
      </c>
      <c r="E65" s="4" t="s">
        <v>22</v>
      </c>
      <c r="F65" s="4" t="s">
        <v>23</v>
      </c>
      <c r="G65" s="4" t="s">
        <v>24</v>
      </c>
      <c r="H65" s="5" t="n">
        <f>1100.0</f>
        <v>1100.0</v>
      </c>
    </row>
    <row r="66">
      <c r="A66" s="3" t="s">
        <v>91</v>
      </c>
      <c r="B66" s="4" t="s">
        <v>94</v>
      </c>
      <c r="C66" s="4" t="s">
        <v>95</v>
      </c>
      <c r="D66" s="3" t="n">
        <v>2.0</v>
      </c>
      <c r="E66" s="4" t="s">
        <v>34</v>
      </c>
      <c r="F66" s="4" t="s">
        <v>35</v>
      </c>
      <c r="G66" s="4" t="s">
        <v>36</v>
      </c>
      <c r="H66" s="5" t="n">
        <f>800.0</f>
        <v>800.0</v>
      </c>
    </row>
    <row r="67">
      <c r="A67" s="3" t="s">
        <v>91</v>
      </c>
      <c r="B67" s="4" t="s">
        <v>94</v>
      </c>
      <c r="C67" s="4" t="s">
        <v>95</v>
      </c>
      <c r="D67" s="3" t="n">
        <v>3.0</v>
      </c>
      <c r="E67" s="4" t="s">
        <v>40</v>
      </c>
      <c r="F67" s="4" t="s">
        <v>41</v>
      </c>
      <c r="G67" s="4" t="s">
        <v>42</v>
      </c>
      <c r="H67" s="5" t="n">
        <f>300.0</f>
        <v>300.0</v>
      </c>
    </row>
    <row r="68">
      <c r="A68" s="3" t="s">
        <v>91</v>
      </c>
      <c r="B68" s="4" t="s">
        <v>94</v>
      </c>
      <c r="C68" s="4" t="s">
        <v>95</v>
      </c>
      <c r="D68" s="3" t="n">
        <v>4.0</v>
      </c>
      <c r="E68" s="4" t="s">
        <v>19</v>
      </c>
      <c r="F68" s="4" t="s">
        <v>20</v>
      </c>
      <c r="G68" s="4" t="s">
        <v>21</v>
      </c>
      <c r="H68" s="5" t="n">
        <f>250.0</f>
        <v>250.0</v>
      </c>
    </row>
    <row r="69">
      <c r="A69" s="3" t="s">
        <v>91</v>
      </c>
      <c r="B69" s="4" t="s">
        <v>94</v>
      </c>
      <c r="C69" s="4" t="s">
        <v>95</v>
      </c>
      <c r="D69" s="3" t="n">
        <v>5.0</v>
      </c>
      <c r="E69" s="4" t="s">
        <v>25</v>
      </c>
      <c r="F69" s="4" t="s">
        <v>26</v>
      </c>
      <c r="G69" s="4" t="s">
        <v>27</v>
      </c>
      <c r="H69" s="5" t="n">
        <f>200.0</f>
        <v>200.0</v>
      </c>
    </row>
    <row r="70">
      <c r="A70" s="3" t="s">
        <v>91</v>
      </c>
      <c r="B70" s="4" t="s">
        <v>94</v>
      </c>
      <c r="C70" s="4" t="s">
        <v>95</v>
      </c>
      <c r="D70" s="3" t="n">
        <v>5.0</v>
      </c>
      <c r="E70" s="4" t="s">
        <v>37</v>
      </c>
      <c r="F70" s="4" t="s">
        <v>38</v>
      </c>
      <c r="G70" s="4" t="s">
        <v>39</v>
      </c>
      <c r="H70" s="5" t="n">
        <f>200.0</f>
        <v>200.0</v>
      </c>
    </row>
    <row r="71">
      <c r="A71" s="3" t="s">
        <v>91</v>
      </c>
      <c r="B71" s="4" t="s">
        <v>94</v>
      </c>
      <c r="C71" s="4" t="s">
        <v>95</v>
      </c>
      <c r="D71" s="3" t="n">
        <v>5.0</v>
      </c>
      <c r="E71" s="4" t="s">
        <v>58</v>
      </c>
      <c r="F71" s="4" t="s">
        <v>59</v>
      </c>
      <c r="G71" s="4" t="s">
        <v>60</v>
      </c>
      <c r="H71" s="5" t="n">
        <f>200.0</f>
        <v>200.0</v>
      </c>
    </row>
    <row r="72">
      <c r="A72" s="3" t="s">
        <v>91</v>
      </c>
      <c r="B72" s="4" t="s">
        <v>94</v>
      </c>
      <c r="C72" s="4" t="s">
        <v>95</v>
      </c>
      <c r="D72" s="3" t="n">
        <v>8.0</v>
      </c>
      <c r="E72" s="4" t="s">
        <v>43</v>
      </c>
      <c r="F72" s="4" t="s">
        <v>44</v>
      </c>
      <c r="G72" s="4" t="s">
        <v>45</v>
      </c>
      <c r="H72" s="5" t="n">
        <f>150.0</f>
        <v>150.0</v>
      </c>
    </row>
    <row r="73">
      <c r="A73" s="3" t="s">
        <v>91</v>
      </c>
      <c r="B73" s="4" t="s">
        <v>94</v>
      </c>
      <c r="C73" s="4" t="s">
        <v>95</v>
      </c>
      <c r="D73" s="3" t="n">
        <v>9.0</v>
      </c>
      <c r="E73" s="4" t="s">
        <v>13</v>
      </c>
      <c r="F73" s="4" t="s">
        <v>14</v>
      </c>
      <c r="G73" s="4" t="s">
        <v>15</v>
      </c>
      <c r="H73" s="5" t="n">
        <f>32.0</f>
        <v>32.0</v>
      </c>
    </row>
    <row r="74">
      <c r="A74" s="3" t="s">
        <v>91</v>
      </c>
      <c r="B74" s="4" t="s">
        <v>96</v>
      </c>
      <c r="C74" s="4" t="s">
        <v>97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6.0</f>
        <v>6.0</v>
      </c>
    </row>
    <row r="75">
      <c r="A75" s="3" t="s">
        <v>91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8.0</f>
        <v>8.0</v>
      </c>
    </row>
    <row r="76">
      <c r="A76" s="3" t="s">
        <v>91</v>
      </c>
      <c r="B76" s="4" t="s">
        <v>100</v>
      </c>
      <c r="C76" s="4" t="s">
        <v>101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92.0</f>
        <v>92.0</v>
      </c>
    </row>
    <row r="77">
      <c r="A77" s="3" t="s">
        <v>91</v>
      </c>
      <c r="B77" s="4" t="s">
        <v>102</v>
      </c>
      <c r="C77" s="4" t="s">
        <v>103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900.0</f>
        <v>900.0</v>
      </c>
    </row>
    <row r="78">
      <c r="A78" s="3" t="s">
        <v>91</v>
      </c>
      <c r="B78" s="4" t="s">
        <v>102</v>
      </c>
      <c r="C78" s="4" t="s">
        <v>103</v>
      </c>
      <c r="D78" s="3" t="n">
        <v>2.0</v>
      </c>
      <c r="E78" s="4" t="s">
        <v>67</v>
      </c>
      <c r="F78" s="4" t="s">
        <v>68</v>
      </c>
      <c r="G78" s="4" t="s">
        <v>69</v>
      </c>
      <c r="H78" s="5" t="n">
        <f>300.0</f>
        <v>300.0</v>
      </c>
    </row>
    <row r="79">
      <c r="A79" s="3" t="s">
        <v>91</v>
      </c>
      <c r="B79" s="4" t="s">
        <v>102</v>
      </c>
      <c r="C79" s="4" t="s">
        <v>103</v>
      </c>
      <c r="D79" s="3" t="n">
        <v>3.0</v>
      </c>
      <c r="E79" s="4" t="s">
        <v>34</v>
      </c>
      <c r="F79" s="4" t="s">
        <v>35</v>
      </c>
      <c r="G79" s="4" t="s">
        <v>36</v>
      </c>
      <c r="H79" s="5" t="n">
        <f>200.0</f>
        <v>200.0</v>
      </c>
    </row>
    <row r="80">
      <c r="A80" s="3" t="s">
        <v>91</v>
      </c>
      <c r="B80" s="4" t="s">
        <v>102</v>
      </c>
      <c r="C80" s="4" t="s">
        <v>103</v>
      </c>
      <c r="D80" s="3" t="n">
        <v>3.0</v>
      </c>
      <c r="E80" s="4" t="s">
        <v>37</v>
      </c>
      <c r="F80" s="4" t="s">
        <v>38</v>
      </c>
      <c r="G80" s="4" t="s">
        <v>39</v>
      </c>
      <c r="H80" s="5" t="n">
        <f>200.0</f>
        <v>200.0</v>
      </c>
    </row>
    <row r="81">
      <c r="A81" s="3" t="s">
        <v>91</v>
      </c>
      <c r="B81" s="4" t="s">
        <v>102</v>
      </c>
      <c r="C81" s="4" t="s">
        <v>103</v>
      </c>
      <c r="D81" s="3" t="n">
        <v>5.0</v>
      </c>
      <c r="E81" s="4" t="s">
        <v>43</v>
      </c>
      <c r="F81" s="4" t="s">
        <v>44</v>
      </c>
      <c r="G81" s="4" t="s">
        <v>45</v>
      </c>
      <c r="H81" s="5" t="n">
        <f>100.0</f>
        <v>100.0</v>
      </c>
    </row>
    <row r="82">
      <c r="A82" s="3" t="s">
        <v>91</v>
      </c>
      <c r="B82" s="4" t="s">
        <v>102</v>
      </c>
      <c r="C82" s="4" t="s">
        <v>103</v>
      </c>
      <c r="D82" s="3" t="n">
        <v>6.0</v>
      </c>
      <c r="E82" s="4" t="s">
        <v>13</v>
      </c>
      <c r="F82" s="4" t="s">
        <v>14</v>
      </c>
      <c r="G82" s="4" t="s">
        <v>15</v>
      </c>
      <c r="H82" s="5" t="n">
        <f>98.0</f>
        <v>98.0</v>
      </c>
    </row>
    <row r="83">
      <c r="A83" s="3" t="s">
        <v>91</v>
      </c>
      <c r="B83" s="4" t="s">
        <v>102</v>
      </c>
      <c r="C83" s="4" t="s">
        <v>103</v>
      </c>
      <c r="D83" s="3" t="n">
        <v>7.0</v>
      </c>
      <c r="E83" s="4" t="s">
        <v>19</v>
      </c>
      <c r="F83" s="4" t="s">
        <v>20</v>
      </c>
      <c r="G83" s="4" t="s">
        <v>21</v>
      </c>
      <c r="H83" s="5" t="n">
        <f>96.0</f>
        <v>96.0</v>
      </c>
    </row>
    <row r="84">
      <c r="A84" s="3" t="s">
        <v>91</v>
      </c>
      <c r="B84" s="4" t="s">
        <v>102</v>
      </c>
      <c r="C84" s="4" t="s">
        <v>103</v>
      </c>
      <c r="D84" s="3" t="n">
        <v>8.0</v>
      </c>
      <c r="E84" s="4" t="s">
        <v>40</v>
      </c>
      <c r="F84" s="4" t="s">
        <v>41</v>
      </c>
      <c r="G84" s="4" t="s">
        <v>42</v>
      </c>
      <c r="H84" s="5" t="n">
        <f>50.0</f>
        <v>50.0</v>
      </c>
    </row>
    <row r="85">
      <c r="A85" s="3" t="s">
        <v>91</v>
      </c>
      <c r="B85" s="4" t="s">
        <v>102</v>
      </c>
      <c r="C85" s="4" t="s">
        <v>103</v>
      </c>
      <c r="D85" s="3" t="n">
        <v>8.0</v>
      </c>
      <c r="E85" s="4" t="s">
        <v>64</v>
      </c>
      <c r="F85" s="4" t="s">
        <v>65</v>
      </c>
      <c r="G85" s="4" t="s">
        <v>66</v>
      </c>
      <c r="H85" s="5" t="n">
        <f>50.0</f>
        <v>50.0</v>
      </c>
    </row>
    <row r="86">
      <c r="A86" s="3" t="s">
        <v>91</v>
      </c>
      <c r="B86" s="4" t="s">
        <v>104</v>
      </c>
      <c r="C86" s="4" t="s">
        <v>105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2.0</f>
        <v>2.0</v>
      </c>
    </row>
    <row r="87">
      <c r="A87" s="3" t="s">
        <v>91</v>
      </c>
      <c r="B87" s="4" t="s">
        <v>106</v>
      </c>
      <c r="C87" s="4" t="s">
        <v>107</v>
      </c>
      <c r="D87" s="3" t="n">
        <v>1.0</v>
      </c>
      <c r="E87" s="4" t="s">
        <v>28</v>
      </c>
      <c r="F87" s="4" t="s">
        <v>29</v>
      </c>
      <c r="G87" s="4" t="s">
        <v>30</v>
      </c>
      <c r="H87" s="5" t="n">
        <f>100.0</f>
        <v>100.0</v>
      </c>
    </row>
    <row r="88">
      <c r="A88" s="3" t="s">
        <v>91</v>
      </c>
      <c r="B88" s="4" t="s">
        <v>106</v>
      </c>
      <c r="C88" s="4" t="s">
        <v>107</v>
      </c>
      <c r="D88" s="3" t="n">
        <v>1.0</v>
      </c>
      <c r="E88" s="4" t="s">
        <v>22</v>
      </c>
      <c r="F88" s="4" t="s">
        <v>23</v>
      </c>
      <c r="G88" s="4" t="s">
        <v>24</v>
      </c>
      <c r="H88" s="5" t="n">
        <f>100.0</f>
        <v>100.0</v>
      </c>
    </row>
    <row r="89">
      <c r="A89" s="3" t="s">
        <v>91</v>
      </c>
      <c r="B89" s="4" t="s">
        <v>106</v>
      </c>
      <c r="C89" s="4" t="s">
        <v>107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26.0</f>
        <v>26.0</v>
      </c>
    </row>
    <row r="90">
      <c r="A90" s="3" t="s">
        <v>91</v>
      </c>
      <c r="B90" s="4" t="s">
        <v>108</v>
      </c>
      <c r="C90" s="4" t="s">
        <v>109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