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<sst xmlns="http://schemas.openxmlformats.org/spreadsheetml/2006/main" count="592" uniqueCount="100">
  <si>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</si>
  <si>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</si>
  <si>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</si>
  <si>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</si>
  <si>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</si>
  <si>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</si>
  <si>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</si>
  <si>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</si>
  <si>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</si>
  <si>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20251014</t>
  </si>
  <si>
    <t>NK225F</t>
  </si>
  <si>
    <t>160120018</t>
  </si>
  <si>
    <t>NIKKEI 225 FUT 2512</t>
  </si>
  <si>
    <t>11560</t>
  </si>
  <si>
    <t>ゴールドマン証券</t>
  </si>
  <si>
    <t>Goldman Sachs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</si>
  <si>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</si>
  <si>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</si>
  <si>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</si>
  <si>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</si>
  <si>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</si>
  <si>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</si>
  <si>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</si>
  <si>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</si>
  <si>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</si>
  <si>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</si>
  <si>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</si>
  <si>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</si>
  <si>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</si>
  <si>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</si>
  <si>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</si>
  <si>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</si>
  <si>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</si>
  <si>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</si>
  <si>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</si>
  <si>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</si>
  <si>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</si>
  <si>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</si>
  <si>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</si>
  <si>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</si>
  <si>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</si>
  <si>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</si>
  <si>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</si>
  <si>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</si>
  <si>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</si>
  <si>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</si>
  <si>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</si>
  <si>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</si>
  <si>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</si>
  <si>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</si>
  <si>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</si>
  <si>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</si>
  <si>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</si>
  <si>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</si>
  <si>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</si>
  <si>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</si>
  <si>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</si>
  <si>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</si>
  <si>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</si>
  <si>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</si>
  <si>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</si>
  <si>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</si>
  <si>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</si>
  <si>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</si>
  <si>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12336</t>
  </si>
  <si>
    <t>日産証券</t>
  </si>
  <si>
    <t>Nissan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</si>
  <si>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</si>
  <si>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</si>
  <si>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</si>
  <si>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</si>
  <si>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</si>
  <si>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</si>
  <si>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</si>
  <si>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</si>
  <si>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</si>
  <si>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</si>
  <si>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</si>
  <si>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</si>
  <si>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</si>
  <si>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</si>
  <si>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</si>
  <si>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</si>
  <si>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</si>
  <si>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</si>
  <si>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</si>
  <si>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130236018</t>
  </si>
  <si>
    <t>NIKKEI 225 OOP P2511-46000</t>
  </si>
  <si>
    <t>180116518</t>
  </si>
  <si>
    <t>NIKKEI 225 OOP P2511-46500</t>
  </si>
  <si>
    <t>180116718</t>
  </si>
  <si>
    <t>NIKKEI 225 OOP P2511-46750</t>
  </si>
  <si>
    <t>130237018</t>
  </si>
  <si>
    <t>NIKKEI 225 OOP P2511-47000</t>
  </si>
  <si>
    <t>140117618</t>
  </si>
  <si>
    <t>NIKKEI 225 OOP C2511-47625</t>
  </si>
  <si>
    <t>140237518</t>
  </si>
  <si>
    <t>NIKKEI 225 OOP C2511-47500</t>
  </si>
  <si>
    <t>140237018</t>
  </si>
  <si>
    <t>NIKKEI 225 OOP C2511-47000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</si>
</sst>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6991.0</f>
        <v>6991.0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4978.0</f>
        <v>4978.0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4457.0</f>
        <v>4457.0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2766.0</f>
        <v>2766.0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2765.0</f>
        <v>2765.0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2125.0</f>
        <v>2125.0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1567.0</f>
        <v>1567.0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1162.0</f>
        <v>1162.0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1139.0</f>
        <v>1139.0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1007.0</f>
        <v>1007.0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529.0</f>
        <v>529.0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464.0</f>
        <v>464.0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443.0</f>
        <v>443.0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430.0</f>
        <v>430.0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230.0</f>
        <v>230.0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198.0</f>
        <v>198.0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181.0</f>
        <v>181.0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181.0</f>
        <v>181.0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154.0</f>
        <v>154.0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124.0</f>
        <v>124.0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64</v>
      </c>
      <c r="F33" s="4" t="s">
        <v>65</v>
      </c>
      <c r="G33" s="4" t="s">
        <v>66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58</v>
      </c>
      <c r="F34" s="4" t="s">
        <v>59</v>
      </c>
      <c r="G34" s="4" t="s">
        <v>60</v>
      </c>
      <c r="H34" s="5" t="n">
        <f>4.0</f>
        <v>4.0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5500.0</f>
        <v>5500.0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5500.0</f>
        <v>5500.0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25</v>
      </c>
      <c r="F37" s="4" t="s">
        <v>26</v>
      </c>
      <c r="G37" s="4" t="s">
        <v>27</v>
      </c>
      <c r="H37" s="5" t="n">
        <f>4000.0</f>
        <v>4000.0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16</v>
      </c>
      <c r="F38" s="4" t="s">
        <v>17</v>
      </c>
      <c r="G38" s="4" t="s">
        <v>18</v>
      </c>
      <c r="H38" s="5" t="n">
        <f>3788.0</f>
        <v>3788.0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52</v>
      </c>
      <c r="F39" s="4" t="s">
        <v>53</v>
      </c>
      <c r="G39" s="4" t="s">
        <v>54</v>
      </c>
      <c r="H39" s="5" t="n">
        <f>2950.0</f>
        <v>2950.0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13</v>
      </c>
      <c r="F40" s="4" t="s">
        <v>14</v>
      </c>
      <c r="G40" s="4" t="s">
        <v>15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19</v>
      </c>
      <c r="F41" s="4" t="s">
        <v>20</v>
      </c>
      <c r="G41" s="4" t="s">
        <v>21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34</v>
      </c>
      <c r="F42" s="4" t="s">
        <v>35</v>
      </c>
      <c r="G42" s="4" t="s">
        <v>36</v>
      </c>
      <c r="H42" s="5" t="n">
        <f>1000.0</f>
        <v>1000.0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64</v>
      </c>
      <c r="F43" s="4" t="s">
        <v>65</v>
      </c>
      <c r="G43" s="4" t="s">
        <v>66</v>
      </c>
      <c r="H43" s="5" t="n">
        <f>66.0</f>
        <v>66.0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58</v>
      </c>
      <c r="F44" s="4" t="s">
        <v>59</v>
      </c>
      <c r="G44" s="4" t="s">
        <v>60</v>
      </c>
      <c r="H44" s="5" t="n">
        <f>66.0</f>
        <v>66.0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70</v>
      </c>
      <c r="F45" s="4" t="s">
        <v>71</v>
      </c>
      <c r="G45" s="4" t="s">
        <v>72</v>
      </c>
      <c r="H45" s="5" t="n">
        <f>44.0</f>
        <v>44.0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74116.0</f>
        <v>74116.0</v>
      </c>
    </row>
    <row r="47">
      <c r="A47" s="3" t="s">
        <v>75</v>
      </c>
      <c r="B47" s="4" t="s">
        <v>78</v>
      </c>
      <c r="C47" s="4" t="s">
        <v>79</v>
      </c>
      <c r="D47" s="3" t="n">
        <v>2.0</v>
      </c>
      <c r="E47" s="4" t="s">
        <v>52</v>
      </c>
      <c r="F47" s="4" t="s">
        <v>53</v>
      </c>
      <c r="G47" s="4" t="s">
        <v>54</v>
      </c>
      <c r="H47" s="5" t="n">
        <f>36426.0</f>
        <v>36426.0</v>
      </c>
    </row>
    <row r="48">
      <c r="A48" s="3" t="s">
        <v>75</v>
      </c>
      <c r="B48" s="4" t="s">
        <v>78</v>
      </c>
      <c r="C48" s="4" t="s">
        <v>79</v>
      </c>
      <c r="D48" s="3" t="n">
        <v>3.0</v>
      </c>
      <c r="E48" s="4" t="s">
        <v>70</v>
      </c>
      <c r="F48" s="4" t="s">
        <v>71</v>
      </c>
      <c r="G48" s="4" t="s">
        <v>72</v>
      </c>
      <c r="H48" s="5" t="n">
        <f>8032.0</f>
        <v>8032.0</v>
      </c>
    </row>
    <row r="49">
      <c r="A49" s="3" t="s">
        <v>75</v>
      </c>
      <c r="B49" s="4" t="s">
        <v>78</v>
      </c>
      <c r="C49" s="4" t="s">
        <v>79</v>
      </c>
      <c r="D49" s="3" t="n">
        <v>4.0</v>
      </c>
      <c r="E49" s="4" t="s">
        <v>64</v>
      </c>
      <c r="F49" s="4" t="s">
        <v>65</v>
      </c>
      <c r="G49" s="4" t="s">
        <v>66</v>
      </c>
      <c r="H49" s="5" t="n">
        <f>869.0</f>
        <v>869.0</v>
      </c>
    </row>
    <row r="50">
      <c r="A50" s="3" t="s">
        <v>75</v>
      </c>
      <c r="B50" s="4" t="s">
        <v>78</v>
      </c>
      <c r="C50" s="4" t="s">
        <v>79</v>
      </c>
      <c r="D50" s="3" t="n">
        <v>4.0</v>
      </c>
      <c r="E50" s="4" t="s">
        <v>58</v>
      </c>
      <c r="F50" s="4" t="s">
        <v>59</v>
      </c>
      <c r="G50" s="4" t="s">
        <v>60</v>
      </c>
      <c r="H50" s="5" t="n">
        <f>869.0</f>
        <v>869.0</v>
      </c>
    </row>
    <row r="51">
      <c r="A51" s="3" t="s">
        <v>75</v>
      </c>
      <c r="B51" s="4" t="s">
        <v>78</v>
      </c>
      <c r="C51" s="4" t="s">
        <v>79</v>
      </c>
      <c r="D51" s="3" t="n">
        <v>6.0</v>
      </c>
      <c r="E51" s="4" t="s">
        <v>22</v>
      </c>
      <c r="F51" s="4" t="s">
        <v>23</v>
      </c>
      <c r="G51" s="4" t="s">
        <v>24</v>
      </c>
      <c r="H51" s="5" t="n">
        <f>106.0</f>
        <v>106.0</v>
      </c>
    </row>
    <row r="52">
      <c r="A52" s="3" t="s">
        <v>75</v>
      </c>
      <c r="B52" s="4" t="s">
        <v>78</v>
      </c>
      <c r="C52" s="4" t="s">
        <v>79</v>
      </c>
      <c r="D52" s="3" t="n">
        <v>7.0</v>
      </c>
      <c r="E52" s="4" t="s">
        <v>13</v>
      </c>
      <c r="F52" s="4" t="s">
        <v>14</v>
      </c>
      <c r="G52" s="4" t="s">
        <v>15</v>
      </c>
      <c r="H52" s="5" t="n">
        <f>84.0</f>
        <v>84.0</v>
      </c>
    </row>
    <row r="53">
      <c r="A53" s="3" t="s">
        <v>75</v>
      </c>
      <c r="B53" s="4" t="s">
        <v>78</v>
      </c>
      <c r="C53" s="4" t="s">
        <v>79</v>
      </c>
      <c r="D53" s="3" t="n">
        <v>8.0</v>
      </c>
      <c r="E53" s="4" t="s">
        <v>43</v>
      </c>
      <c r="F53" s="4" t="s">
        <v>44</v>
      </c>
      <c r="G53" s="4" t="s">
        <v>45</v>
      </c>
      <c r="H53" s="5" t="n">
        <f>54.0</f>
        <v>54.0</v>
      </c>
    </row>
    <row r="54">
      <c r="A54" s="3" t="s">
        <v>75</v>
      </c>
      <c r="B54" s="4" t="s">
        <v>78</v>
      </c>
      <c r="C54" s="4" t="s">
        <v>79</v>
      </c>
      <c r="D54" s="3" t="n">
        <v>9.0</v>
      </c>
      <c r="E54" s="4" t="s">
        <v>31</v>
      </c>
      <c r="F54" s="4" t="s">
        <v>32</v>
      </c>
      <c r="G54" s="4" t="s">
        <v>33</v>
      </c>
      <c r="H54" s="5" t="n">
        <f>7.0</f>
        <v>7.0</v>
      </c>
    </row>
    <row r="55">
      <c r="A55" s="3" t="s">
        <v>75</v>
      </c>
      <c r="B55" s="4" t="s">
        <v>78</v>
      </c>
      <c r="C55" s="4" t="s">
        <v>79</v>
      </c>
      <c r="D55" s="3" t="n">
        <v>9.0</v>
      </c>
      <c r="E55" s="4" t="s">
        <v>40</v>
      </c>
      <c r="F55" s="4" t="s">
        <v>41</v>
      </c>
      <c r="G55" s="4" t="s">
        <v>42</v>
      </c>
      <c r="H55" s="5" t="n">
        <f>7.0</f>
        <v>7.0</v>
      </c>
    </row>
    <row r="56">
      <c r="A56" s="3" t="s">
        <v>75</v>
      </c>
      <c r="B56" s="4" t="s">
        <v>80</v>
      </c>
      <c r="C56" s="4" t="s">
        <v>81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62.0</f>
        <v>62.0</v>
      </c>
    </row>
    <row r="57">
      <c r="A57" s="3" t="s">
        <v>75</v>
      </c>
      <c r="B57" s="4" t="s">
        <v>80</v>
      </c>
      <c r="C57" s="4" t="s">
        <v>81</v>
      </c>
      <c r="D57" s="3" t="n">
        <v>2.0</v>
      </c>
      <c r="E57" s="4" t="s">
        <v>52</v>
      </c>
      <c r="F57" s="4" t="s">
        <v>53</v>
      </c>
      <c r="G57" s="4" t="s">
        <v>54</v>
      </c>
      <c r="H57" s="5" t="n">
        <f>48.0</f>
        <v>48.0</v>
      </c>
    </row>
    <row r="58">
      <c r="A58" s="3" t="s">
        <v>75</v>
      </c>
      <c r="B58" s="4" t="s">
        <v>80</v>
      </c>
      <c r="C58" s="4" t="s">
        <v>81</v>
      </c>
      <c r="D58" s="3" t="n">
        <v>3.0</v>
      </c>
      <c r="E58" s="4" t="s">
        <v>64</v>
      </c>
      <c r="F58" s="4" t="s">
        <v>65</v>
      </c>
      <c r="G58" s="4" t="s">
        <v>66</v>
      </c>
      <c r="H58" s="5" t="n">
        <f>29.0</f>
        <v>29.0</v>
      </c>
    </row>
    <row r="59">
      <c r="A59" s="3" t="s">
        <v>75</v>
      </c>
      <c r="B59" s="4" t="s">
        <v>80</v>
      </c>
      <c r="C59" s="4" t="s">
        <v>81</v>
      </c>
      <c r="D59" s="3" t="n">
        <v>3.0</v>
      </c>
      <c r="E59" s="4" t="s">
        <v>58</v>
      </c>
      <c r="F59" s="4" t="s">
        <v>59</v>
      </c>
      <c r="G59" s="4" t="s">
        <v>60</v>
      </c>
      <c r="H59" s="5" t="n">
        <f>29.0</f>
        <v>29.0</v>
      </c>
    </row>
    <row r="60">
      <c r="A60" s="3" t="s">
        <v>75</v>
      </c>
      <c r="B60" s="4" t="s">
        <v>80</v>
      </c>
      <c r="C60" s="4" t="s">
        <v>81</v>
      </c>
      <c r="D60" s="3" t="n">
        <v>5.0</v>
      </c>
      <c r="E60" s="4" t="s">
        <v>70</v>
      </c>
      <c r="F60" s="4" t="s">
        <v>71</v>
      </c>
      <c r="G60" s="4" t="s">
        <v>72</v>
      </c>
      <c r="H60" s="5" t="n">
        <f>18.0</f>
        <v>18.0</v>
      </c>
    </row>
    <row r="61">
      <c r="A61" s="3" t="s">
        <v>82</v>
      </c>
      <c r="B61" s="4" t="s">
        <v>83</v>
      </c>
      <c r="C61" s="4" t="s">
        <v>84</v>
      </c>
      <c r="D61" s="3" t="n">
        <v>1.0</v>
      </c>
      <c r="E61" s="4" t="s">
        <v>19</v>
      </c>
      <c r="F61" s="4" t="s">
        <v>20</v>
      </c>
      <c r="G61" s="4" t="s">
        <v>21</v>
      </c>
      <c r="H61" s="5" t="n">
        <f>9336.0</f>
        <v>9336.0</v>
      </c>
    </row>
    <row r="62">
      <c r="A62" s="3" t="s">
        <v>82</v>
      </c>
      <c r="B62" s="4" t="s">
        <v>83</v>
      </c>
      <c r="C62" s="4" t="s">
        <v>84</v>
      </c>
      <c r="D62" s="3" t="n">
        <v>2.0</v>
      </c>
      <c r="E62" s="4" t="s">
        <v>13</v>
      </c>
      <c r="F62" s="4" t="s">
        <v>14</v>
      </c>
      <c r="G62" s="4" t="s">
        <v>15</v>
      </c>
      <c r="H62" s="5" t="n">
        <f>5017.0</f>
        <v>5017.0</v>
      </c>
    </row>
    <row r="63">
      <c r="A63" s="3" t="s">
        <v>82</v>
      </c>
      <c r="B63" s="4" t="s">
        <v>83</v>
      </c>
      <c r="C63" s="4" t="s">
        <v>84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4240.0</f>
        <v>4240.0</v>
      </c>
    </row>
    <row r="64">
      <c r="A64" s="3" t="s">
        <v>82</v>
      </c>
      <c r="B64" s="4" t="s">
        <v>83</v>
      </c>
      <c r="C64" s="4" t="s">
        <v>84</v>
      </c>
      <c r="D64" s="3" t="n">
        <v>4.0</v>
      </c>
      <c r="E64" s="4" t="s">
        <v>46</v>
      </c>
      <c r="F64" s="4" t="s">
        <v>47</v>
      </c>
      <c r="G64" s="4" t="s">
        <v>48</v>
      </c>
      <c r="H64" s="5" t="n">
        <f>1205.0</f>
        <v>1205.0</v>
      </c>
    </row>
    <row r="65">
      <c r="A65" s="3" t="s">
        <v>82</v>
      </c>
      <c r="B65" s="4" t="s">
        <v>83</v>
      </c>
      <c r="C65" s="4" t="s">
        <v>84</v>
      </c>
      <c r="D65" s="3" t="n">
        <v>5.0</v>
      </c>
      <c r="E65" s="4" t="s">
        <v>22</v>
      </c>
      <c r="F65" s="4" t="s">
        <v>23</v>
      </c>
      <c r="G65" s="4" t="s">
        <v>24</v>
      </c>
      <c r="H65" s="5" t="n">
        <f>814.0</f>
        <v>814.0</v>
      </c>
    </row>
    <row r="66">
      <c r="A66" s="3" t="s">
        <v>82</v>
      </c>
      <c r="B66" s="4" t="s">
        <v>83</v>
      </c>
      <c r="C66" s="4" t="s">
        <v>84</v>
      </c>
      <c r="D66" s="3" t="n">
        <v>6.0</v>
      </c>
      <c r="E66" s="4" t="s">
        <v>28</v>
      </c>
      <c r="F66" s="4" t="s">
        <v>29</v>
      </c>
      <c r="G66" s="4" t="s">
        <v>30</v>
      </c>
      <c r="H66" s="5" t="n">
        <f>483.0</f>
        <v>483.0</v>
      </c>
    </row>
    <row r="67">
      <c r="A67" s="3" t="s">
        <v>82</v>
      </c>
      <c r="B67" s="4" t="s">
        <v>83</v>
      </c>
      <c r="C67" s="4" t="s">
        <v>84</v>
      </c>
      <c r="D67" s="3" t="n">
        <v>7.0</v>
      </c>
      <c r="E67" s="4" t="s">
        <v>55</v>
      </c>
      <c r="F67" s="4" t="s">
        <v>56</v>
      </c>
      <c r="G67" s="4" t="s">
        <v>57</v>
      </c>
      <c r="H67" s="5" t="n">
        <f>400.0</f>
        <v>400.0</v>
      </c>
    </row>
    <row r="68">
      <c r="A68" s="3" t="s">
        <v>82</v>
      </c>
      <c r="B68" s="4" t="s">
        <v>83</v>
      </c>
      <c r="C68" s="4" t="s">
        <v>84</v>
      </c>
      <c r="D68" s="3" t="n">
        <v>8.0</v>
      </c>
      <c r="E68" s="4" t="s">
        <v>40</v>
      </c>
      <c r="F68" s="4" t="s">
        <v>41</v>
      </c>
      <c r="G68" s="4" t="s">
        <v>42</v>
      </c>
      <c r="H68" s="5" t="n">
        <f>384.0</f>
        <v>384.0</v>
      </c>
    </row>
    <row r="69">
      <c r="A69" s="3" t="s">
        <v>82</v>
      </c>
      <c r="B69" s="4" t="s">
        <v>83</v>
      </c>
      <c r="C69" s="4" t="s">
        <v>84</v>
      </c>
      <c r="D69" s="3" t="n">
        <v>9.0</v>
      </c>
      <c r="E69" s="4" t="s">
        <v>37</v>
      </c>
      <c r="F69" s="4" t="s">
        <v>38</v>
      </c>
      <c r="G69" s="4" t="s">
        <v>39</v>
      </c>
      <c r="H69" s="5" t="n">
        <f>349.0</f>
        <v>349.0</v>
      </c>
    </row>
    <row r="70">
      <c r="A70" s="3" t="s">
        <v>82</v>
      </c>
      <c r="B70" s="4" t="s">
        <v>83</v>
      </c>
      <c r="C70" s="4" t="s">
        <v>84</v>
      </c>
      <c r="D70" s="3" t="n">
        <v>10.0</v>
      </c>
      <c r="E70" s="4" t="s">
        <v>49</v>
      </c>
      <c r="F70" s="4" t="s">
        <v>50</v>
      </c>
      <c r="G70" s="4" t="s">
        <v>51</v>
      </c>
      <c r="H70" s="5" t="n">
        <f>243.0</f>
        <v>243.0</v>
      </c>
    </row>
    <row r="71">
      <c r="A71" s="3" t="s">
        <v>82</v>
      </c>
      <c r="B71" s="4" t="s">
        <v>83</v>
      </c>
      <c r="C71" s="4" t="s">
        <v>84</v>
      </c>
      <c r="D71" s="3" t="n">
        <v>11.0</v>
      </c>
      <c r="E71" s="4" t="s">
        <v>43</v>
      </c>
      <c r="F71" s="4" t="s">
        <v>44</v>
      </c>
      <c r="G71" s="4" t="s">
        <v>45</v>
      </c>
      <c r="H71" s="5" t="n">
        <f>240.0</f>
        <v>240.0</v>
      </c>
    </row>
    <row r="72">
      <c r="A72" s="3" t="s">
        <v>82</v>
      </c>
      <c r="B72" s="4" t="s">
        <v>83</v>
      </c>
      <c r="C72" s="4" t="s">
        <v>84</v>
      </c>
      <c r="D72" s="3" t="n">
        <v>12.0</v>
      </c>
      <c r="E72" s="4" t="s">
        <v>58</v>
      </c>
      <c r="F72" s="4" t="s">
        <v>59</v>
      </c>
      <c r="G72" s="4" t="s">
        <v>60</v>
      </c>
      <c r="H72" s="5" t="n">
        <f>149.0</f>
        <v>149.0</v>
      </c>
    </row>
    <row r="73">
      <c r="A73" s="3" t="s">
        <v>82</v>
      </c>
      <c r="B73" s="4" t="s">
        <v>83</v>
      </c>
      <c r="C73" s="4" t="s">
        <v>84</v>
      </c>
      <c r="D73" s="3" t="n">
        <v>13.0</v>
      </c>
      <c r="E73" s="4" t="s">
        <v>16</v>
      </c>
      <c r="F73" s="4" t="s">
        <v>17</v>
      </c>
      <c r="G73" s="4" t="s">
        <v>18</v>
      </c>
      <c r="H73" s="5" t="n">
        <f>142.0</f>
        <v>142.0</v>
      </c>
    </row>
    <row r="74">
      <c r="A74" s="3" t="s">
        <v>82</v>
      </c>
      <c r="B74" s="4" t="s">
        <v>83</v>
      </c>
      <c r="C74" s="4" t="s">
        <v>84</v>
      </c>
      <c r="D74" s="3" t="n">
        <v>14.0</v>
      </c>
      <c r="E74" s="4" t="s">
        <v>34</v>
      </c>
      <c r="F74" s="4" t="s">
        <v>35</v>
      </c>
      <c r="G74" s="4" t="s">
        <v>36</v>
      </c>
      <c r="H74" s="5" t="n">
        <f>60.0</f>
        <v>60.0</v>
      </c>
    </row>
    <row r="75">
      <c r="A75" s="3" t="s">
        <v>82</v>
      </c>
      <c r="B75" s="4" t="s">
        <v>83</v>
      </c>
      <c r="C75" s="4" t="s">
        <v>84</v>
      </c>
      <c r="D75" s="3" t="n">
        <v>15.0</v>
      </c>
      <c r="E75" s="4" t="s">
        <v>31</v>
      </c>
      <c r="F75" s="4" t="s">
        <v>32</v>
      </c>
      <c r="G75" s="4" t="s">
        <v>33</v>
      </c>
      <c r="H75" s="5" t="n">
        <f>46.0</f>
        <v>46.0</v>
      </c>
    </row>
    <row r="76">
      <c r="A76" s="3" t="s">
        <v>82</v>
      </c>
      <c r="B76" s="4" t="s">
        <v>83</v>
      </c>
      <c r="C76" s="4" t="s">
        <v>84</v>
      </c>
      <c r="D76" s="3" t="n">
        <v>16.0</v>
      </c>
      <c r="E76" s="4" t="s">
        <v>70</v>
      </c>
      <c r="F76" s="4" t="s">
        <v>71</v>
      </c>
      <c r="G76" s="4" t="s">
        <v>72</v>
      </c>
      <c r="H76" s="5" t="n">
        <f>24.0</f>
        <v>24.0</v>
      </c>
    </row>
    <row r="77">
      <c r="A77" s="3" t="s">
        <v>82</v>
      </c>
      <c r="B77" s="4" t="s">
        <v>83</v>
      </c>
      <c r="C77" s="4" t="s">
        <v>84</v>
      </c>
      <c r="D77" s="3" t="n">
        <v>17.0</v>
      </c>
      <c r="E77" s="4" t="s">
        <v>61</v>
      </c>
      <c r="F77" s="4" t="s">
        <v>62</v>
      </c>
      <c r="G77" s="4" t="s">
        <v>63</v>
      </c>
      <c r="H77" s="5" t="n">
        <f>12.0</f>
        <v>12.0</v>
      </c>
    </row>
    <row r="78">
      <c r="A78" s="3" t="s">
        <v>82</v>
      </c>
      <c r="B78" s="4" t="s">
        <v>83</v>
      </c>
      <c r="C78" s="4" t="s">
        <v>84</v>
      </c>
      <c r="D78" s="3" t="n">
        <v>18.0</v>
      </c>
      <c r="E78" s="4" t="s">
        <v>64</v>
      </c>
      <c r="F78" s="4" t="s">
        <v>65</v>
      </c>
      <c r="G78" s="4" t="s">
        <v>66</v>
      </c>
      <c r="H78" s="5" t="n">
        <f>10.0</f>
        <v>10.0</v>
      </c>
    </row>
    <row r="79">
      <c r="A79" s="3" t="s">
        <v>85</v>
      </c>
      <c r="B79" s="4" t="s">
        <v>86</v>
      </c>
      <c r="C79" s="4" t="s">
        <v>87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6900.0</f>
        <v>6900.0</v>
      </c>
    </row>
    <row r="80">
      <c r="A80" s="3" t="s">
        <v>85</v>
      </c>
      <c r="B80" s="4" t="s">
        <v>86</v>
      </c>
      <c r="C80" s="4" t="s">
        <v>87</v>
      </c>
      <c r="D80" s="3" t="n">
        <v>2.0</v>
      </c>
      <c r="E80" s="4" t="s">
        <v>31</v>
      </c>
      <c r="F80" s="4" t="s">
        <v>32</v>
      </c>
      <c r="G80" s="4" t="s">
        <v>33</v>
      </c>
      <c r="H80" s="5" t="n">
        <f>900.0</f>
        <v>900.0</v>
      </c>
    </row>
    <row r="81">
      <c r="A81" s="3" t="s">
        <v>85</v>
      </c>
      <c r="B81" s="4" t="s">
        <v>86</v>
      </c>
      <c r="C81" s="4" t="s">
        <v>87</v>
      </c>
      <c r="D81" s="3" t="n">
        <v>3.0</v>
      </c>
      <c r="E81" s="4" t="s">
        <v>13</v>
      </c>
      <c r="F81" s="4" t="s">
        <v>14</v>
      </c>
      <c r="G81" s="4" t="s">
        <v>15</v>
      </c>
      <c r="H81" s="5" t="n">
        <f>800.0</f>
        <v>800.0</v>
      </c>
    </row>
    <row r="82">
      <c r="A82" s="3" t="s">
        <v>85</v>
      </c>
      <c r="B82" s="4" t="s">
        <v>86</v>
      </c>
      <c r="C82" s="4" t="s">
        <v>87</v>
      </c>
      <c r="D82" s="3" t="n">
        <v>4.0</v>
      </c>
      <c r="E82" s="4" t="s">
        <v>34</v>
      </c>
      <c r="F82" s="4" t="s">
        <v>35</v>
      </c>
      <c r="G82" s="4" t="s">
        <v>36</v>
      </c>
      <c r="H82" s="5" t="n">
        <f>500.0</f>
        <v>500.0</v>
      </c>
    </row>
    <row r="83">
      <c r="A83" s="3" t="s">
        <v>85</v>
      </c>
      <c r="B83" s="4" t="s">
        <v>86</v>
      </c>
      <c r="C83" s="4" t="s">
        <v>87</v>
      </c>
      <c r="D83" s="3" t="n">
        <v>4.0</v>
      </c>
      <c r="E83" s="4" t="s">
        <v>37</v>
      </c>
      <c r="F83" s="4" t="s">
        <v>38</v>
      </c>
      <c r="G83" s="4" t="s">
        <v>39</v>
      </c>
      <c r="H83" s="5" t="n">
        <f>500.0</f>
        <v>500.0</v>
      </c>
    </row>
    <row r="84">
      <c r="A84" s="3" t="s">
        <v>85</v>
      </c>
      <c r="B84" s="4" t="s">
        <v>86</v>
      </c>
      <c r="C84" s="4" t="s">
        <v>87</v>
      </c>
      <c r="D84" s="3" t="n">
        <v>6.0</v>
      </c>
      <c r="E84" s="4" t="s">
        <v>28</v>
      </c>
      <c r="F84" s="4" t="s">
        <v>29</v>
      </c>
      <c r="G84" s="4" t="s">
        <v>30</v>
      </c>
      <c r="H84" s="5" t="n">
        <f>300.0</f>
        <v>300.0</v>
      </c>
    </row>
    <row r="85">
      <c r="A85" s="3" t="s">
        <v>85</v>
      </c>
      <c r="B85" s="4" t="s">
        <v>86</v>
      </c>
      <c r="C85" s="4" t="s">
        <v>87</v>
      </c>
      <c r="D85" s="3" t="n">
        <v>7.0</v>
      </c>
      <c r="E85" s="4" t="s">
        <v>61</v>
      </c>
      <c r="F85" s="4" t="s">
        <v>62</v>
      </c>
      <c r="G85" s="4" t="s">
        <v>63</v>
      </c>
      <c r="H85" s="5" t="n">
        <f>200.0</f>
        <v>200.0</v>
      </c>
    </row>
    <row r="86">
      <c r="A86" s="3" t="s">
        <v>85</v>
      </c>
      <c r="B86" s="4" t="s">
        <v>86</v>
      </c>
      <c r="C86" s="4" t="s">
        <v>87</v>
      </c>
      <c r="D86" s="3" t="n">
        <v>7.0</v>
      </c>
      <c r="E86" s="4" t="s">
        <v>43</v>
      </c>
      <c r="F86" s="4" t="s">
        <v>44</v>
      </c>
      <c r="G86" s="4" t="s">
        <v>45</v>
      </c>
      <c r="H86" s="5" t="n">
        <f>200.0</f>
        <v>200.0</v>
      </c>
    </row>
    <row r="87">
      <c r="A87" s="3" t="s">
        <v>85</v>
      </c>
      <c r="B87" s="4" t="s">
        <v>86</v>
      </c>
      <c r="C87" s="4" t="s">
        <v>87</v>
      </c>
      <c r="D87" s="3" t="n">
        <v>9.0</v>
      </c>
      <c r="E87" s="4" t="s">
        <v>46</v>
      </c>
      <c r="F87" s="4" t="s">
        <v>47</v>
      </c>
      <c r="G87" s="4" t="s">
        <v>48</v>
      </c>
      <c r="H87" s="5" t="n">
        <f>100.0</f>
        <v>100.0</v>
      </c>
    </row>
    <row r="88">
      <c r="A88" s="3" t="s">
        <v>85</v>
      </c>
      <c r="B88" s="4" t="s">
        <v>86</v>
      </c>
      <c r="C88" s="4" t="s">
        <v>87</v>
      </c>
      <c r="D88" s="3" t="n">
        <v>10.0</v>
      </c>
      <c r="E88" s="4" t="s">
        <v>16</v>
      </c>
      <c r="F88" s="4" t="s">
        <v>17</v>
      </c>
      <c r="G88" s="4" t="s">
        <v>18</v>
      </c>
      <c r="H88" s="5" t="n">
        <f>18.0</f>
        <v>18.0</v>
      </c>
    </row>
    <row r="89">
      <c r="A89" s="3" t="s">
        <v>85</v>
      </c>
      <c r="B89" s="4" t="s">
        <v>88</v>
      </c>
      <c r="C89" s="4" t="s">
        <v>89</v>
      </c>
      <c r="D89" s="3" t="n">
        <v>1.0</v>
      </c>
      <c r="E89" s="4" t="s">
        <v>37</v>
      </c>
      <c r="F89" s="4" t="s">
        <v>38</v>
      </c>
      <c r="G89" s="4" t="s">
        <v>39</v>
      </c>
      <c r="H89" s="5" t="n">
        <f>36.0</f>
        <v>36.0</v>
      </c>
    </row>
    <row r="90">
      <c r="A90" s="3" t="s">
        <v>85</v>
      </c>
      <c r="B90" s="4" t="s">
        <v>88</v>
      </c>
      <c r="C90" s="4" t="s">
        <v>89</v>
      </c>
      <c r="D90" s="3" t="n">
        <v>1.0</v>
      </c>
      <c r="E90" s="4" t="s">
        <v>28</v>
      </c>
      <c r="F90" s="4" t="s">
        <v>29</v>
      </c>
      <c r="G90" s="4" t="s">
        <v>30</v>
      </c>
      <c r="H90" s="5" t="n">
        <f>36.0</f>
        <v>36.0</v>
      </c>
    </row>
    <row r="91">
      <c r="A91" s="3" t="s">
        <v>85</v>
      </c>
      <c r="B91" s="4" t="s">
        <v>88</v>
      </c>
      <c r="C91" s="4" t="s">
        <v>89</v>
      </c>
      <c r="D91" s="3" t="n">
        <v>3.0</v>
      </c>
      <c r="E91" s="4" t="s">
        <v>16</v>
      </c>
      <c r="F91" s="4" t="s">
        <v>17</v>
      </c>
      <c r="G91" s="4" t="s">
        <v>18</v>
      </c>
      <c r="H91" s="5" t="n">
        <f>12.0</f>
        <v>12.0</v>
      </c>
    </row>
    <row r="92">
      <c r="A92" s="3" t="s">
        <v>85</v>
      </c>
      <c r="B92" s="4" t="s">
        <v>90</v>
      </c>
      <c r="C92" s="4" t="s">
        <v>91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2.0</f>
        <v>2.0</v>
      </c>
    </row>
    <row r="93">
      <c r="A93" s="3" t="s">
        <v>85</v>
      </c>
      <c r="B93" s="4" t="s">
        <v>92</v>
      </c>
      <c r="C93" s="4" t="s">
        <v>93</v>
      </c>
      <c r="D93" s="3" t="n">
        <v>1.0</v>
      </c>
      <c r="E93" s="4" t="s">
        <v>61</v>
      </c>
      <c r="F93" s="4" t="s">
        <v>62</v>
      </c>
      <c r="G93" s="4" t="s">
        <v>63</v>
      </c>
      <c r="H93" s="5" t="n">
        <f>200.0</f>
        <v>200.0</v>
      </c>
    </row>
    <row r="94">
      <c r="A94" s="3" t="s">
        <v>85</v>
      </c>
      <c r="B94" s="4" t="s">
        <v>92</v>
      </c>
      <c r="C94" s="4" t="s">
        <v>93</v>
      </c>
      <c r="D94" s="3" t="n">
        <v>1.0</v>
      </c>
      <c r="E94" s="4" t="s">
        <v>28</v>
      </c>
      <c r="F94" s="4" t="s">
        <v>29</v>
      </c>
      <c r="G94" s="4" t="s">
        <v>30</v>
      </c>
      <c r="H94" s="5" t="n">
        <f>200.0</f>
        <v>200.0</v>
      </c>
    </row>
    <row r="95">
      <c r="A95" s="3" t="s">
        <v>85</v>
      </c>
      <c r="B95" s="4" t="s">
        <v>92</v>
      </c>
      <c r="C95" s="4" t="s">
        <v>93</v>
      </c>
      <c r="D95" s="3" t="n">
        <v>3.0</v>
      </c>
      <c r="E95" s="4" t="s">
        <v>19</v>
      </c>
      <c r="F95" s="4" t="s">
        <v>20</v>
      </c>
      <c r="G95" s="4" t="s">
        <v>21</v>
      </c>
      <c r="H95" s="5" t="n">
        <f>100.0</f>
        <v>100.0</v>
      </c>
    </row>
    <row r="96">
      <c r="A96" s="3" t="s">
        <v>85</v>
      </c>
      <c r="B96" s="4" t="s">
        <v>92</v>
      </c>
      <c r="C96" s="4" t="s">
        <v>93</v>
      </c>
      <c r="D96" s="3" t="n">
        <v>3.0</v>
      </c>
      <c r="E96" s="4" t="s">
        <v>34</v>
      </c>
      <c r="F96" s="4" t="s">
        <v>35</v>
      </c>
      <c r="G96" s="4" t="s">
        <v>36</v>
      </c>
      <c r="H96" s="5" t="n">
        <f>100.0</f>
        <v>100.0</v>
      </c>
    </row>
    <row r="97">
      <c r="A97" s="3" t="s">
        <v>85</v>
      </c>
      <c r="B97" s="4" t="s">
        <v>92</v>
      </c>
      <c r="C97" s="4" t="s">
        <v>93</v>
      </c>
      <c r="D97" s="3" t="n">
        <v>3.0</v>
      </c>
      <c r="E97" s="4" t="s">
        <v>46</v>
      </c>
      <c r="F97" s="4" t="s">
        <v>47</v>
      </c>
      <c r="G97" s="4" t="s">
        <v>48</v>
      </c>
      <c r="H97" s="5" t="n">
        <f>100.0</f>
        <v>100.0</v>
      </c>
    </row>
    <row r="98">
      <c r="A98" s="3" t="s">
        <v>85</v>
      </c>
      <c r="B98" s="4" t="s">
        <v>92</v>
      </c>
      <c r="C98" s="4" t="s">
        <v>93</v>
      </c>
      <c r="D98" s="3" t="n">
        <v>3.0</v>
      </c>
      <c r="E98" s="4" t="s">
        <v>67</v>
      </c>
      <c r="F98" s="4" t="s">
        <v>68</v>
      </c>
      <c r="G98" s="4" t="s">
        <v>69</v>
      </c>
      <c r="H98" s="5" t="n">
        <f>100.0</f>
        <v>100.0</v>
      </c>
    </row>
    <row r="99">
      <c r="A99" s="3" t="s">
        <v>85</v>
      </c>
      <c r="B99" s="4" t="s">
        <v>92</v>
      </c>
      <c r="C99" s="4" t="s">
        <v>93</v>
      </c>
      <c r="D99" s="3" t="n">
        <v>7.0</v>
      </c>
      <c r="E99" s="4" t="s">
        <v>16</v>
      </c>
      <c r="F99" s="4" t="s">
        <v>17</v>
      </c>
      <c r="G99" s="4" t="s">
        <v>18</v>
      </c>
      <c r="H99" s="5" t="n">
        <f>12.0</f>
        <v>12.0</v>
      </c>
    </row>
    <row r="100">
      <c r="A100" s="3" t="s">
        <v>85</v>
      </c>
      <c r="B100" s="4" t="s">
        <v>94</v>
      </c>
      <c r="C100" s="4" t="s">
        <v>95</v>
      </c>
      <c r="D100" s="3" t="n">
        <v>1.0</v>
      </c>
      <c r="E100" s="4" t="s">
        <v>25</v>
      </c>
      <c r="F100" s="4" t="s">
        <v>26</v>
      </c>
      <c r="G100" s="4" t="s">
        <v>27</v>
      </c>
      <c r="H100" s="5" t="n">
        <f>20.0</f>
        <v>20.0</v>
      </c>
    </row>
    <row r="101">
      <c r="A101" s="3" t="s">
        <v>85</v>
      </c>
      <c r="B101" s="4" t="s">
        <v>96</v>
      </c>
      <c r="C101" s="4" t="s">
        <v>97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1176.0</f>
        <v>1176.0</v>
      </c>
    </row>
    <row r="102">
      <c r="A102" s="3" t="s">
        <v>85</v>
      </c>
      <c r="B102" s="4" t="s">
        <v>96</v>
      </c>
      <c r="C102" s="4" t="s">
        <v>97</v>
      </c>
      <c r="D102" s="3" t="n">
        <v>2.0</v>
      </c>
      <c r="E102" s="4" t="s">
        <v>16</v>
      </c>
      <c r="F102" s="4" t="s">
        <v>17</v>
      </c>
      <c r="G102" s="4" t="s">
        <v>18</v>
      </c>
      <c r="H102" s="5" t="n">
        <f>2.0</f>
        <v>2.0</v>
      </c>
    </row>
    <row r="103">
      <c r="A103" s="3" t="s">
        <v>85</v>
      </c>
      <c r="B103" s="4" t="s">
        <v>98</v>
      </c>
      <c r="C103" s="4" t="s">
        <v>99</v>
      </c>
      <c r="D103" s="3" t="n">
        <v>1.0</v>
      </c>
      <c r="E103" s="4" t="s">
        <v>67</v>
      </c>
      <c r="F103" s="4" t="s">
        <v>68</v>
      </c>
      <c r="G103" s="4" t="s">
        <v>69</v>
      </c>
      <c r="H103" s="5" t="n">
        <f>100.0</f>
        <v>100.0</v>
      </c>
    </row>
    <row r="104">
      <c r="A104" s="3" t="s">
        <v>85</v>
      </c>
      <c r="B104" s="4" t="s">
        <v>98</v>
      </c>
      <c r="C104" s="4" t="s">
        <v>99</v>
      </c>
      <c r="D104" s="3" t="n">
        <v>1.0</v>
      </c>
      <c r="E104" s="4" t="s">
        <v>28</v>
      </c>
      <c r="F104" s="4" t="s">
        <v>29</v>
      </c>
      <c r="G104" s="4" t="s">
        <v>30</v>
      </c>
      <c r="H104" s="5" t="n">
        <f>100.0</f>
        <v>100.0</v>
      </c>
    </row>
    <row r="105">
      <c r="A105" s="3" t="s">
        <v>85</v>
      </c>
      <c r="B105" s="4" t="s">
        <v>98</v>
      </c>
      <c r="C105" s="4" t="s">
        <v>99</v>
      </c>
      <c r="D105" s="3" t="n">
        <v>3.0</v>
      </c>
      <c r="E105" s="4" t="s">
        <v>16</v>
      </c>
      <c r="F105" s="4" t="s">
        <v>17</v>
      </c>
      <c r="G105" s="4" t="s">
        <v>18</v>
      </c>
      <c r="H105" s="5" t="n">
        <f>16.0</f>
        <v>16.0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