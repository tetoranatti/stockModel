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<sst xmlns="http://schemas.openxmlformats.org/spreadsheetml/2006/main" count="418" uniqueCount="107">
  <si>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</si>
  <si>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</si>
  <si>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</si>
  <si>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</si>
  <si>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</si>
  <si>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</si>
  <si>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</si>
  <si>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</si>
  <si>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</si>
  <si>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20260713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</si>
  <si>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</si>
  <si>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</si>
  <si>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</si>
  <si>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</si>
  <si>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</si>
  <si>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</si>
  <si>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</si>
  <si>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</si>
  <si>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</si>
  <si>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</si>
  <si>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</si>
  <si>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</si>
  <si>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</si>
  <si>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</si>
  <si>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</si>
  <si>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</si>
  <si>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</si>
  <si>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</si>
  <si>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</si>
  <si>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</si>
  <si>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</si>
  <si>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</si>
  <si>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</si>
  <si>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</si>
  <si>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</si>
  <si>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</si>
  <si>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</si>
  <si>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</si>
  <si>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</si>
  <si>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</si>
  <si>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</si>
  <si>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</si>
  <si>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</si>
  <si>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</si>
  <si>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</si>
  <si>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</si>
  <si>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</si>
  <si>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</si>
  <si>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</si>
  <si>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</si>
  <si>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</si>
  <si>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</si>
  <si>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</si>
  <si>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</si>
  <si>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</si>
  <si>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</si>
  <si>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</si>
  <si>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</si>
  <si>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</si>
  <si>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</si>
  <si>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</si>
  <si>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</si>
  <si>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</si>
  <si>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</si>
  <si>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</si>
  <si>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</si>
  <si>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</si>
  <si>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</si>
  <si>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</si>
  <si>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</si>
  <si>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12072</t>
  </si>
  <si>
    <t>東海東京証券</t>
  </si>
  <si>
    <t>Tokai Tokyo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</si>
  <si>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</si>
  <si>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</si>
  <si>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</si>
  <si>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</si>
  <si>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</si>
  <si>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</si>
  <si>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</si>
  <si>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</si>
  <si>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</si>
  <si>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</si>
  <si>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</si>
  <si>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</si>
  <si>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12000</t>
  </si>
  <si>
    <t>大和証券</t>
  </si>
  <si>
    <t>Daiwa Securities</t>
  </si>
  <si>
    <t>NK225E</t>
  </si>
  <si>
    <t>131206218</t>
  </si>
  <si>
    <t>NIKKEI 225 OOP P2608-66250</t>
  </si>
  <si>
    <t>131206518</t>
  </si>
  <si>
    <t>NIKKEI 225 OOP P2608-66500</t>
  </si>
  <si>
    <t>131206718</t>
  </si>
  <si>
    <t>NIKKEI 225 OOP P2608-66750</t>
  </si>
  <si>
    <t>131327018</t>
  </si>
  <si>
    <t>NIKKEI 225 OOP P2608-67000</t>
  </si>
  <si>
    <t>131327518</t>
  </si>
  <si>
    <t>NIKKEI 225 OOP P2608-67500</t>
  </si>
  <si>
    <t>191088118</t>
  </si>
  <si>
    <t>NIKKEI 225 OOP C2608-68125</t>
  </si>
  <si>
    <t>141328018</t>
  </si>
  <si>
    <t>NIKKEI 225 OOP C2608-68000</t>
  </si>
  <si>
    <t>141327518</t>
  </si>
  <si>
    <t>NIKKEI 225 OOP C2608-67500</t>
  </si>
  <si>
    <t>191087118</t>
  </si>
  <si>
    <t>NIKKEI 225 OOP C2608-67125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</si>
</sst>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2575.0</f>
        <v>2575.0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1847.0</f>
        <v>1847.0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776.0</f>
        <v>776.0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672.0</f>
        <v>672.0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634.0</f>
        <v>634.0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566.0</f>
        <v>566.0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476.0</f>
        <v>476.0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406.0</f>
        <v>406.0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321.0</f>
        <v>321.0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234.0</f>
        <v>234.0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191.0</f>
        <v>191.0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120.0</f>
        <v>120.0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117.0</f>
        <v>117.0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111.0</f>
        <v>111.0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92.0</f>
        <v>92.0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84.0</f>
        <v>84.0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80.0</f>
        <v>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65.0</f>
        <v>65.0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58.0</f>
        <v>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33.0</f>
        <v>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34</v>
      </c>
      <c r="F33" s="4" t="s">
        <v>35</v>
      </c>
      <c r="G33" s="4" t="s">
        <v>36</v>
      </c>
      <c r="H33" s="5" t="n">
        <f>4.0</f>
        <v>4.0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4478.0</f>
        <v>4478.0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34</v>
      </c>
      <c r="F35" s="4" t="s">
        <v>35</v>
      </c>
      <c r="G35" s="4" t="s">
        <v>36</v>
      </c>
      <c r="H35" s="5" t="n">
        <f>2018.0</f>
        <v>2018.0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46</v>
      </c>
      <c r="F36" s="4" t="s">
        <v>47</v>
      </c>
      <c r="G36" s="4" t="s">
        <v>48</v>
      </c>
      <c r="H36" s="5" t="n">
        <f>264.0</f>
        <v>264.0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39232.0</f>
        <v>39232.0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34</v>
      </c>
      <c r="F38" s="4" t="s">
        <v>35</v>
      </c>
      <c r="G38" s="4" t="s">
        <v>36</v>
      </c>
      <c r="H38" s="5" t="n">
        <f>30262.0</f>
        <v>30262.0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46</v>
      </c>
      <c r="F39" s="4" t="s">
        <v>47</v>
      </c>
      <c r="G39" s="4" t="s">
        <v>48</v>
      </c>
      <c r="H39" s="5" t="n">
        <f>5444.0</f>
        <v>5444.0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172.0</f>
        <v>172.0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37</v>
      </c>
      <c r="F41" s="4" t="s">
        <v>38</v>
      </c>
      <c r="G41" s="4" t="s">
        <v>39</v>
      </c>
      <c r="H41" s="5" t="n">
        <f>88.0</f>
        <v>88.0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22.0</f>
        <v>22.0</v>
      </c>
    </row>
    <row r="43">
      <c r="A43" s="3" t="s">
        <v>75</v>
      </c>
      <c r="B43" s="4" t="s">
        <v>78</v>
      </c>
      <c r="C43" s="4" t="s">
        <v>79</v>
      </c>
      <c r="D43" s="3" t="n">
        <v>7.0</v>
      </c>
      <c r="E43" s="4" t="s">
        <v>64</v>
      </c>
      <c r="F43" s="4" t="s">
        <v>65</v>
      </c>
      <c r="G43" s="4" t="s">
        <v>66</v>
      </c>
      <c r="H43" s="5" t="n">
        <f>10.0</f>
        <v>10.0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48.0</f>
        <v>48.0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46</v>
      </c>
      <c r="F45" s="4" t="s">
        <v>47</v>
      </c>
      <c r="G45" s="4" t="s">
        <v>48</v>
      </c>
      <c r="H45" s="5" t="n">
        <f>12.0</f>
        <v>12.0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40</v>
      </c>
      <c r="F46" s="4" t="s">
        <v>41</v>
      </c>
      <c r="G46" s="4" t="s">
        <v>42</v>
      </c>
      <c r="H46" s="5" t="n">
        <f>4780.0</f>
        <v>4780.0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3144.0</f>
        <v>3144.0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28</v>
      </c>
      <c r="F48" s="4" t="s">
        <v>29</v>
      </c>
      <c r="G48" s="4" t="s">
        <v>30</v>
      </c>
      <c r="H48" s="5" t="n">
        <f>2506.0</f>
        <v>2506.0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22</v>
      </c>
      <c r="F49" s="4" t="s">
        <v>23</v>
      </c>
      <c r="G49" s="4" t="s">
        <v>24</v>
      </c>
      <c r="H49" s="5" t="n">
        <f>932.0</f>
        <v>932.0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25</v>
      </c>
      <c r="F50" s="4" t="s">
        <v>26</v>
      </c>
      <c r="G50" s="4" t="s">
        <v>27</v>
      </c>
      <c r="H50" s="5" t="n">
        <f>867.0</f>
        <v>867.0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85</v>
      </c>
      <c r="F51" s="4" t="s">
        <v>86</v>
      </c>
      <c r="G51" s="4" t="s">
        <v>87</v>
      </c>
      <c r="H51" s="5" t="n">
        <f>501.0</f>
        <v>501.0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13</v>
      </c>
      <c r="F52" s="4" t="s">
        <v>14</v>
      </c>
      <c r="G52" s="4" t="s">
        <v>15</v>
      </c>
      <c r="H52" s="5" t="n">
        <f>394.0</f>
        <v>394.0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61</v>
      </c>
      <c r="F53" s="4" t="s">
        <v>62</v>
      </c>
      <c r="G53" s="4" t="s">
        <v>63</v>
      </c>
      <c r="H53" s="5" t="n">
        <f>306.0</f>
        <v>306.0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31</v>
      </c>
      <c r="F54" s="4" t="s">
        <v>32</v>
      </c>
      <c r="G54" s="4" t="s">
        <v>33</v>
      </c>
      <c r="H54" s="5" t="n">
        <f>287.0</f>
        <v>287.0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49</v>
      </c>
      <c r="F55" s="4" t="s">
        <v>50</v>
      </c>
      <c r="G55" s="4" t="s">
        <v>51</v>
      </c>
      <c r="H55" s="5" t="n">
        <f>132.0</f>
        <v>132.0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67</v>
      </c>
      <c r="F56" s="4" t="s">
        <v>68</v>
      </c>
      <c r="G56" s="4" t="s">
        <v>69</v>
      </c>
      <c r="H56" s="5" t="n">
        <f>125.0</f>
        <v>125.0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19</v>
      </c>
      <c r="F57" s="4" t="s">
        <v>20</v>
      </c>
      <c r="G57" s="4" t="s">
        <v>21</v>
      </c>
      <c r="H57" s="5" t="n">
        <f>113.0</f>
        <v>113.0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37</v>
      </c>
      <c r="F58" s="4" t="s">
        <v>38</v>
      </c>
      <c r="G58" s="4" t="s">
        <v>39</v>
      </c>
      <c r="H58" s="5" t="n">
        <f>100.0</f>
        <v>100.0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64</v>
      </c>
      <c r="F59" s="4" t="s">
        <v>65</v>
      </c>
      <c r="G59" s="4" t="s">
        <v>66</v>
      </c>
      <c r="H59" s="5" t="n">
        <f>94.0</f>
        <v>94.0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55</v>
      </c>
      <c r="F60" s="4" t="s">
        <v>56</v>
      </c>
      <c r="G60" s="4" t="s">
        <v>57</v>
      </c>
      <c r="H60" s="5" t="n">
        <f>41.0</f>
        <v>41.0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46</v>
      </c>
      <c r="F61" s="4" t="s">
        <v>47</v>
      </c>
      <c r="G61" s="4" t="s">
        <v>48</v>
      </c>
      <c r="H61" s="5" t="n">
        <f>4.0</f>
        <v>4.0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46.0</f>
        <v>46.0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2.0</f>
        <v>2.0</v>
      </c>
    </row>
    <row r="64">
      <c r="A64" s="3" t="s">
        <v>88</v>
      </c>
      <c r="B64" s="4" t="s">
        <v>93</v>
      </c>
      <c r="C64" s="4" t="s">
        <v>94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50.0</f>
        <v>50.0</v>
      </c>
    </row>
    <row r="65">
      <c r="A65" s="3" t="s">
        <v>88</v>
      </c>
      <c r="B65" s="4" t="s">
        <v>95</v>
      </c>
      <c r="C65" s="4" t="s">
        <v>96</v>
      </c>
      <c r="D65" s="3" t="n">
        <v>1.0</v>
      </c>
      <c r="E65" s="4" t="s">
        <v>25</v>
      </c>
      <c r="F65" s="4" t="s">
        <v>26</v>
      </c>
      <c r="G65" s="4" t="s">
        <v>27</v>
      </c>
      <c r="H65" s="5" t="n">
        <f>50.0</f>
        <v>50.0</v>
      </c>
    </row>
    <row r="66">
      <c r="A66" s="3" t="s">
        <v>88</v>
      </c>
      <c r="B66" s="4" t="s">
        <v>95</v>
      </c>
      <c r="C66" s="4" t="s">
        <v>96</v>
      </c>
      <c r="D66" s="3" t="n">
        <v>2.0</v>
      </c>
      <c r="E66" s="4" t="s">
        <v>37</v>
      </c>
      <c r="F66" s="4" t="s">
        <v>38</v>
      </c>
      <c r="G66" s="4" t="s">
        <v>39</v>
      </c>
      <c r="H66" s="5" t="n">
        <f>20.0</f>
        <v>20.0</v>
      </c>
    </row>
    <row r="67">
      <c r="A67" s="3" t="s">
        <v>88</v>
      </c>
      <c r="B67" s="4" t="s">
        <v>95</v>
      </c>
      <c r="C67" s="4" t="s">
        <v>96</v>
      </c>
      <c r="D67" s="3" t="n">
        <v>3.0</v>
      </c>
      <c r="E67" s="4" t="s">
        <v>34</v>
      </c>
      <c r="F67" s="4" t="s">
        <v>35</v>
      </c>
      <c r="G67" s="4" t="s">
        <v>36</v>
      </c>
      <c r="H67" s="5" t="n">
        <f>4.0</f>
        <v>4.0</v>
      </c>
    </row>
    <row r="68">
      <c r="A68" s="3" t="s">
        <v>88</v>
      </c>
      <c r="B68" s="4" t="s">
        <v>95</v>
      </c>
      <c r="C68" s="4" t="s">
        <v>96</v>
      </c>
      <c r="D68" s="3" t="n">
        <v>4.0</v>
      </c>
      <c r="E68" s="4" t="s">
        <v>13</v>
      </c>
      <c r="F68" s="4" t="s">
        <v>14</v>
      </c>
      <c r="G68" s="4" t="s">
        <v>15</v>
      </c>
      <c r="H68" s="5" t="n">
        <f>2.0</f>
        <v>2.0</v>
      </c>
    </row>
    <row r="69">
      <c r="A69" s="3" t="s">
        <v>88</v>
      </c>
      <c r="B69" s="4" t="s">
        <v>97</v>
      </c>
      <c r="C69" s="4" t="s">
        <v>98</v>
      </c>
      <c r="D69" s="3" t="n">
        <v>1.0</v>
      </c>
      <c r="E69" s="4" t="s">
        <v>31</v>
      </c>
      <c r="F69" s="4" t="s">
        <v>32</v>
      </c>
      <c r="G69" s="4" t="s">
        <v>33</v>
      </c>
      <c r="H69" s="5" t="n">
        <f>40.0</f>
        <v>40.0</v>
      </c>
    </row>
    <row r="70">
      <c r="A70" s="3" t="s">
        <v>88</v>
      </c>
      <c r="B70" s="4" t="s">
        <v>97</v>
      </c>
      <c r="C70" s="4" t="s">
        <v>98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  <row r="71">
      <c r="A71" s="3" t="s">
        <v>88</v>
      </c>
      <c r="B71" s="4" t="s">
        <v>97</v>
      </c>
      <c r="C71" s="4" t="s">
        <v>98</v>
      </c>
      <c r="D71" s="3" t="n">
        <v>2.0</v>
      </c>
      <c r="E71" s="4" t="s">
        <v>34</v>
      </c>
      <c r="F71" s="4" t="s">
        <v>35</v>
      </c>
      <c r="G71" s="4" t="s">
        <v>36</v>
      </c>
      <c r="H71" s="5" t="n">
        <f>2.0</f>
        <v>2.0</v>
      </c>
    </row>
    <row r="72">
      <c r="A72" s="3" t="s">
        <v>88</v>
      </c>
      <c r="B72" s="4" t="s">
        <v>99</v>
      </c>
      <c r="C72" s="4" t="s">
        <v>100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912.0</f>
        <v>912.0</v>
      </c>
    </row>
    <row r="73">
      <c r="A73" s="3" t="s">
        <v>88</v>
      </c>
      <c r="B73" s="4" t="s">
        <v>101</v>
      </c>
      <c r="C73" s="4" t="s">
        <v>102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20.0</f>
        <v>20.0</v>
      </c>
    </row>
    <row r="74">
      <c r="A74" s="3" t="s">
        <v>88</v>
      </c>
      <c r="B74" s="4" t="s">
        <v>103</v>
      </c>
      <c r="C74" s="4" t="s">
        <v>104</v>
      </c>
      <c r="D74" s="3" t="n">
        <v>1.0</v>
      </c>
      <c r="E74" s="4" t="s">
        <v>61</v>
      </c>
      <c r="F74" s="4" t="s">
        <v>62</v>
      </c>
      <c r="G74" s="4" t="s">
        <v>63</v>
      </c>
      <c r="H74" s="5" t="n">
        <f>100.0</f>
        <v>100.0</v>
      </c>
    </row>
    <row r="75">
      <c r="A75" s="3" t="s">
        <v>88</v>
      </c>
      <c r="B75" s="4" t="s">
        <v>103</v>
      </c>
      <c r="C75" s="4" t="s">
        <v>104</v>
      </c>
      <c r="D75" s="3" t="n">
        <v>1.0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88</v>
      </c>
      <c r="B76" s="4" t="s">
        <v>105</v>
      </c>
      <c r="C76" s="4" t="s">
        <v>106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