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<sst xmlns="http://schemas.openxmlformats.org/spreadsheetml/2006/main" count="442" uniqueCount="102">
  <si>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</si>
  <si>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</si>
  <si>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</si>
  <si>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</si>
  <si>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</si>
  <si>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</si>
  <si>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</si>
  <si>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</si>
  <si>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</si>
  <si>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20251224</t>
  </si>
  <si>
    <t>NK225F</t>
  </si>
  <si>
    <t>161030018</t>
  </si>
  <si>
    <t>NIKKEI 225 FUT 2603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</si>
  <si>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</si>
  <si>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</si>
  <si>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</si>
  <si>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</si>
  <si>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</si>
  <si>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</si>
  <si>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</si>
  <si>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</si>
  <si>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</si>
  <si>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</si>
  <si>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</si>
  <si>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</si>
  <si>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</si>
  <si>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</si>
  <si>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</si>
  <si>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</si>
  <si>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</si>
  <si>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</si>
  <si>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</si>
  <si>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</si>
  <si>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</si>
  <si>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</si>
  <si>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</si>
  <si>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</si>
  <si>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</si>
  <si>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</si>
  <si>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</si>
  <si>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</si>
  <si>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</si>
  <si>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</si>
  <si>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</si>
  <si>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</si>
  <si>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</si>
  <si>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</si>
  <si>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</si>
  <si>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</si>
  <si>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</si>
  <si>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</si>
  <si>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</si>
  <si>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12057</t>
  </si>
  <si>
    <t>楽天証券</t>
  </si>
  <si>
    <t>Rakuten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</si>
  <si>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</si>
  <si>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</si>
  <si>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</si>
  <si>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</si>
  <si>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</si>
  <si>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</si>
  <si>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</si>
  <si>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</si>
  <si>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</si>
  <si>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</si>
  <si>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</si>
  <si>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</si>
  <si>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</si>
  <si>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</si>
  <si>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</si>
  <si>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12072</t>
  </si>
  <si>
    <t>東海東京証券</t>
  </si>
  <si>
    <t>Tokai Tokyo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</si>
  <si>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</si>
  <si>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</si>
  <si>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</si>
  <si>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</si>
  <si>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</si>
  <si>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</si>
  <si>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</si>
  <si>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</si>
  <si>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</si>
  <si>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</si>
  <si>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</si>
  <si>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</si>
  <si>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161060005</t>
  </si>
  <si>
    <t>TOPIX FUT 2606</t>
  </si>
  <si>
    <t>NK225E</t>
  </si>
  <si>
    <t>131139518</t>
  </si>
  <si>
    <t>NIKKEI 225 OOP P2601-49500</t>
  </si>
  <si>
    <t>131130018</t>
  </si>
  <si>
    <t>NIKKEI 225 OOP P2601-50000</t>
  </si>
  <si>
    <t>131130518</t>
  </si>
  <si>
    <t>NIKKEI 225 OOP P2601-50500</t>
  </si>
  <si>
    <t>131010618</t>
  </si>
  <si>
    <t>NIKKEI 225 OOP P2601-50625</t>
  </si>
  <si>
    <t>141131218</t>
  </si>
  <si>
    <t>NIKKEI 225 OOP C2601-51250</t>
  </si>
  <si>
    <t>141131018</t>
  </si>
  <si>
    <t>NIKKEI 225 OOP C2601-51000</t>
  </si>
  <si>
    <t>141130518</t>
  </si>
  <si>
    <t>NIKKEI 225 OOP C2601-50500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</si>
</sst>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875.0</f>
        <v>875.0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833.0</f>
        <v>833.0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618.0</f>
        <v>618.0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513.0</f>
        <v>513.0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475.0</f>
        <v>475.0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473.0</f>
        <v>473.0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469.0</f>
        <v>469.0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442.0</f>
        <v>442.0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366.0</f>
        <v>366.0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305.0</f>
        <v>305.0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232.0</f>
        <v>232.0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221.0</f>
        <v>221.0</v>
      </c>
    </row>
    <row r="21">
      <c r="A21" s="3" t="s">
        <v>10</v>
      </c>
      <c r="B21" s="4" t="s">
        <v>11</v>
      </c>
      <c r="C21" s="4" t="s">
        <v>12</v>
      </c>
      <c r="D21" s="3" t="n">
        <v>12.0</v>
      </c>
      <c r="E21" s="4" t="s">
        <v>49</v>
      </c>
      <c r="F21" s="4" t="s">
        <v>50</v>
      </c>
      <c r="G21" s="4" t="s">
        <v>51</v>
      </c>
      <c r="H21" s="5" t="n">
        <f>221.0</f>
        <v>221.0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134.0</f>
        <v>134.0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120.0</f>
        <v>120.0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61.0</f>
        <v>61.0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46.0</f>
        <v>46.0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28.0</f>
        <v>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10.0</f>
        <v>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6.0</f>
        <v>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350.0</f>
        <v>350.0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250.0</f>
        <v>250.0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2.0</f>
        <v>2.0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2000.0</f>
        <v>2000.0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2000.0</f>
        <v>2000.0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28</v>
      </c>
      <c r="F36" s="4" t="s">
        <v>29</v>
      </c>
      <c r="G36" s="4" t="s">
        <v>30</v>
      </c>
      <c r="H36" s="5" t="n">
        <f>1504.0</f>
        <v>1504.0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52</v>
      </c>
      <c r="F37" s="4" t="s">
        <v>53</v>
      </c>
      <c r="G37" s="4" t="s">
        <v>54</v>
      </c>
      <c r="H37" s="5" t="n">
        <f>1360.0</f>
        <v>1360.0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64</v>
      </c>
      <c r="F38" s="4" t="s">
        <v>65</v>
      </c>
      <c r="G38" s="4" t="s">
        <v>66</v>
      </c>
      <c r="H38" s="5" t="n">
        <f>58.0</f>
        <v>58.0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52</v>
      </c>
      <c r="F39" s="4" t="s">
        <v>53</v>
      </c>
      <c r="G39" s="4" t="s">
        <v>54</v>
      </c>
      <c r="H39" s="5" t="n">
        <f>34.0</f>
        <v>34.0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28</v>
      </c>
      <c r="F40" s="4" t="s">
        <v>29</v>
      </c>
      <c r="G40" s="4" t="s">
        <v>30</v>
      </c>
      <c r="H40" s="5" t="n">
        <f>32.0</f>
        <v>32.0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64</v>
      </c>
      <c r="F41" s="4" t="s">
        <v>65</v>
      </c>
      <c r="G41" s="4" t="s">
        <v>66</v>
      </c>
      <c r="H41" s="5" t="n">
        <f>4.0</f>
        <v>4.0</v>
      </c>
    </row>
    <row r="42">
      <c r="A42" s="3" t="s">
        <v>75</v>
      </c>
      <c r="B42" s="4" t="s">
        <v>80</v>
      </c>
      <c r="C42" s="4" t="s">
        <v>81</v>
      </c>
      <c r="D42" s="3" t="n">
        <v>1.0</v>
      </c>
      <c r="E42" s="4" t="s">
        <v>28</v>
      </c>
      <c r="F42" s="4" t="s">
        <v>29</v>
      </c>
      <c r="G42" s="4" t="s">
        <v>30</v>
      </c>
      <c r="H42" s="5" t="n">
        <f>21740.0</f>
        <v>21740.0</v>
      </c>
    </row>
    <row r="43">
      <c r="A43" s="3" t="s">
        <v>75</v>
      </c>
      <c r="B43" s="4" t="s">
        <v>80</v>
      </c>
      <c r="C43" s="4" t="s">
        <v>81</v>
      </c>
      <c r="D43" s="3" t="n">
        <v>2.0</v>
      </c>
      <c r="E43" s="4" t="s">
        <v>52</v>
      </c>
      <c r="F43" s="4" t="s">
        <v>53</v>
      </c>
      <c r="G43" s="4" t="s">
        <v>54</v>
      </c>
      <c r="H43" s="5" t="n">
        <f>11728.0</f>
        <v>11728.0</v>
      </c>
    </row>
    <row r="44">
      <c r="A44" s="3" t="s">
        <v>75</v>
      </c>
      <c r="B44" s="4" t="s">
        <v>80</v>
      </c>
      <c r="C44" s="4" t="s">
        <v>81</v>
      </c>
      <c r="D44" s="3" t="n">
        <v>3.0</v>
      </c>
      <c r="E44" s="4" t="s">
        <v>64</v>
      </c>
      <c r="F44" s="4" t="s">
        <v>65</v>
      </c>
      <c r="G44" s="4" t="s">
        <v>66</v>
      </c>
      <c r="H44" s="5" t="n">
        <f>3688.0</f>
        <v>3688.0</v>
      </c>
    </row>
    <row r="45">
      <c r="A45" s="3" t="s">
        <v>75</v>
      </c>
      <c r="B45" s="4" t="s">
        <v>80</v>
      </c>
      <c r="C45" s="4" t="s">
        <v>81</v>
      </c>
      <c r="D45" s="3" t="n">
        <v>4.0</v>
      </c>
      <c r="E45" s="4" t="s">
        <v>34</v>
      </c>
      <c r="F45" s="4" t="s">
        <v>35</v>
      </c>
      <c r="G45" s="4" t="s">
        <v>36</v>
      </c>
      <c r="H45" s="5" t="n">
        <f>82.0</f>
        <v>82.0</v>
      </c>
    </row>
    <row r="46">
      <c r="A46" s="3" t="s">
        <v>75</v>
      </c>
      <c r="B46" s="4" t="s">
        <v>80</v>
      </c>
      <c r="C46" s="4" t="s">
        <v>81</v>
      </c>
      <c r="D46" s="3" t="n">
        <v>5.0</v>
      </c>
      <c r="E46" s="4" t="s">
        <v>13</v>
      </c>
      <c r="F46" s="4" t="s">
        <v>14</v>
      </c>
      <c r="G46" s="4" t="s">
        <v>15</v>
      </c>
      <c r="H46" s="5" t="n">
        <f>3.0</f>
        <v>3.0</v>
      </c>
    </row>
    <row r="47">
      <c r="A47" s="3" t="s">
        <v>75</v>
      </c>
      <c r="B47" s="4" t="s">
        <v>80</v>
      </c>
      <c r="C47" s="4" t="s">
        <v>81</v>
      </c>
      <c r="D47" s="3" t="n">
        <v>5.0</v>
      </c>
      <c r="E47" s="4" t="s">
        <v>61</v>
      </c>
      <c r="F47" s="4" t="s">
        <v>62</v>
      </c>
      <c r="G47" s="4" t="s">
        <v>63</v>
      </c>
      <c r="H47" s="5" t="n">
        <f>3.0</f>
        <v>3.0</v>
      </c>
    </row>
    <row r="48">
      <c r="A48" s="3" t="s">
        <v>75</v>
      </c>
      <c r="B48" s="4" t="s">
        <v>80</v>
      </c>
      <c r="C48" s="4" t="s">
        <v>81</v>
      </c>
      <c r="D48" s="3" t="n">
        <v>7.0</v>
      </c>
      <c r="E48" s="4" t="s">
        <v>22</v>
      </c>
      <c r="F48" s="4" t="s">
        <v>23</v>
      </c>
      <c r="G48" s="4" t="s">
        <v>24</v>
      </c>
      <c r="H48" s="5" t="n">
        <f>2.0</f>
        <v>2.0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22</v>
      </c>
      <c r="F49" s="4" t="s">
        <v>23</v>
      </c>
      <c r="G49" s="4" t="s">
        <v>24</v>
      </c>
      <c r="H49" s="5" t="n">
        <f>3253.0</f>
        <v>3253.0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2076.0</f>
        <v>2076.0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40</v>
      </c>
      <c r="F51" s="4" t="s">
        <v>41</v>
      </c>
      <c r="G51" s="4" t="s">
        <v>42</v>
      </c>
      <c r="H51" s="5" t="n">
        <f>1499.0</f>
        <v>1499.0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25</v>
      </c>
      <c r="F52" s="4" t="s">
        <v>26</v>
      </c>
      <c r="G52" s="4" t="s">
        <v>27</v>
      </c>
      <c r="H52" s="5" t="n">
        <f>1282.0</f>
        <v>1282.0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61</v>
      </c>
      <c r="F53" s="4" t="s">
        <v>62</v>
      </c>
      <c r="G53" s="4" t="s">
        <v>63</v>
      </c>
      <c r="H53" s="5" t="n">
        <f>1170.0</f>
        <v>1170.0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19</v>
      </c>
      <c r="F54" s="4" t="s">
        <v>20</v>
      </c>
      <c r="G54" s="4" t="s">
        <v>21</v>
      </c>
      <c r="H54" s="5" t="n">
        <f>889.0</f>
        <v>889.0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13</v>
      </c>
      <c r="F55" s="4" t="s">
        <v>14</v>
      </c>
      <c r="G55" s="4" t="s">
        <v>15</v>
      </c>
      <c r="H55" s="5" t="n">
        <f>476.0</f>
        <v>476.0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34</v>
      </c>
      <c r="F56" s="4" t="s">
        <v>35</v>
      </c>
      <c r="G56" s="4" t="s">
        <v>36</v>
      </c>
      <c r="H56" s="5" t="n">
        <f>434.0</f>
        <v>434.0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31</v>
      </c>
      <c r="F57" s="4" t="s">
        <v>32</v>
      </c>
      <c r="G57" s="4" t="s">
        <v>33</v>
      </c>
      <c r="H57" s="5" t="n">
        <f>248.0</f>
        <v>248.0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37</v>
      </c>
      <c r="F58" s="4" t="s">
        <v>38</v>
      </c>
      <c r="G58" s="4" t="s">
        <v>39</v>
      </c>
      <c r="H58" s="5" t="n">
        <f>200.0</f>
        <v>200.0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28</v>
      </c>
      <c r="F59" s="4" t="s">
        <v>29</v>
      </c>
      <c r="G59" s="4" t="s">
        <v>30</v>
      </c>
      <c r="H59" s="5" t="n">
        <f>126.0</f>
        <v>126.0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43</v>
      </c>
      <c r="F60" s="4" t="s">
        <v>44</v>
      </c>
      <c r="G60" s="4" t="s">
        <v>45</v>
      </c>
      <c r="H60" s="5" t="n">
        <f>46.0</f>
        <v>46.0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49</v>
      </c>
      <c r="F61" s="4" t="s">
        <v>50</v>
      </c>
      <c r="G61" s="4" t="s">
        <v>51</v>
      </c>
      <c r="H61" s="5" t="n">
        <f>23.0</f>
        <v>23.0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58</v>
      </c>
      <c r="F62" s="4" t="s">
        <v>59</v>
      </c>
      <c r="G62" s="4" t="s">
        <v>60</v>
      </c>
      <c r="H62" s="5" t="n">
        <f>22.0</f>
        <v>22.0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46</v>
      </c>
      <c r="F63" s="4" t="s">
        <v>47</v>
      </c>
      <c r="G63" s="4" t="s">
        <v>48</v>
      </c>
      <c r="H63" s="5" t="n">
        <f>10.0</f>
        <v>10.0</v>
      </c>
    </row>
    <row r="64">
      <c r="A64" s="3" t="s">
        <v>82</v>
      </c>
      <c r="B64" s="4" t="s">
        <v>83</v>
      </c>
      <c r="C64" s="4" t="s">
        <v>84</v>
      </c>
      <c r="D64" s="3" t="n">
        <v>16.0</v>
      </c>
      <c r="E64" s="4" t="s">
        <v>64</v>
      </c>
      <c r="F64" s="4" t="s">
        <v>65</v>
      </c>
      <c r="G64" s="4" t="s">
        <v>66</v>
      </c>
      <c r="H64" s="5" t="n">
        <f>6.0</f>
        <v>6.0</v>
      </c>
    </row>
    <row r="65">
      <c r="A65" s="3" t="s">
        <v>82</v>
      </c>
      <c r="B65" s="4" t="s">
        <v>85</v>
      </c>
      <c r="C65" s="4" t="s">
        <v>86</v>
      </c>
      <c r="D65" s="3" t="n">
        <v>1.0</v>
      </c>
      <c r="E65" s="4" t="s">
        <v>22</v>
      </c>
      <c r="F65" s="4" t="s">
        <v>23</v>
      </c>
      <c r="G65" s="4" t="s">
        <v>24</v>
      </c>
      <c r="H65" s="5" t="n">
        <f>300.0</f>
        <v>300.0</v>
      </c>
    </row>
    <row r="66">
      <c r="A66" s="3" t="s">
        <v>82</v>
      </c>
      <c r="B66" s="4" t="s">
        <v>85</v>
      </c>
      <c r="C66" s="4" t="s">
        <v>86</v>
      </c>
      <c r="D66" s="3" t="n">
        <v>1.0</v>
      </c>
      <c r="E66" s="4" t="s">
        <v>16</v>
      </c>
      <c r="F66" s="4" t="s">
        <v>17</v>
      </c>
      <c r="G66" s="4" t="s">
        <v>18</v>
      </c>
      <c r="H66" s="5" t="n">
        <f>300.0</f>
        <v>300.0</v>
      </c>
    </row>
    <row r="67">
      <c r="A67" s="3" t="s">
        <v>87</v>
      </c>
      <c r="B67" s="4" t="s">
        <v>88</v>
      </c>
      <c r="C67" s="4" t="s">
        <v>89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200.0</f>
        <v>200.0</v>
      </c>
    </row>
    <row r="68">
      <c r="A68" s="3" t="s">
        <v>87</v>
      </c>
      <c r="B68" s="4" t="s">
        <v>88</v>
      </c>
      <c r="C68" s="4" t="s">
        <v>89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100.0</f>
        <v>100.0</v>
      </c>
    </row>
    <row r="69">
      <c r="A69" s="3" t="s">
        <v>87</v>
      </c>
      <c r="B69" s="4" t="s">
        <v>88</v>
      </c>
      <c r="C69" s="4" t="s">
        <v>89</v>
      </c>
      <c r="D69" s="3" t="n">
        <v>2.0</v>
      </c>
      <c r="E69" s="4" t="s">
        <v>43</v>
      </c>
      <c r="F69" s="4" t="s">
        <v>44</v>
      </c>
      <c r="G69" s="4" t="s">
        <v>45</v>
      </c>
      <c r="H69" s="5" t="n">
        <f>100.0</f>
        <v>100.0</v>
      </c>
    </row>
    <row r="70">
      <c r="A70" s="3" t="s">
        <v>87</v>
      </c>
      <c r="B70" s="4" t="s">
        <v>88</v>
      </c>
      <c r="C70" s="4" t="s">
        <v>89</v>
      </c>
      <c r="D70" s="3" t="n">
        <v>4.0</v>
      </c>
      <c r="E70" s="4" t="s">
        <v>28</v>
      </c>
      <c r="F70" s="4" t="s">
        <v>29</v>
      </c>
      <c r="G70" s="4" t="s">
        <v>30</v>
      </c>
      <c r="H70" s="5" t="n">
        <f>2.0</f>
        <v>2.0</v>
      </c>
    </row>
    <row r="71">
      <c r="A71" s="3" t="s">
        <v>87</v>
      </c>
      <c r="B71" s="4" t="s">
        <v>90</v>
      </c>
      <c r="C71" s="4" t="s">
        <v>91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300.0</f>
        <v>300.0</v>
      </c>
    </row>
    <row r="72">
      <c r="A72" s="3" t="s">
        <v>87</v>
      </c>
      <c r="B72" s="4" t="s">
        <v>90</v>
      </c>
      <c r="C72" s="4" t="s">
        <v>91</v>
      </c>
      <c r="D72" s="3" t="n">
        <v>2.0</v>
      </c>
      <c r="E72" s="4" t="s">
        <v>43</v>
      </c>
      <c r="F72" s="4" t="s">
        <v>44</v>
      </c>
      <c r="G72" s="4" t="s">
        <v>45</v>
      </c>
      <c r="H72" s="5" t="n">
        <f>160.0</f>
        <v>160.0</v>
      </c>
    </row>
    <row r="73">
      <c r="A73" s="3" t="s">
        <v>87</v>
      </c>
      <c r="B73" s="4" t="s">
        <v>90</v>
      </c>
      <c r="C73" s="4" t="s">
        <v>91</v>
      </c>
      <c r="D73" s="3" t="n">
        <v>3.0</v>
      </c>
      <c r="E73" s="4" t="s">
        <v>22</v>
      </c>
      <c r="F73" s="4" t="s">
        <v>23</v>
      </c>
      <c r="G73" s="4" t="s">
        <v>24</v>
      </c>
      <c r="H73" s="5" t="n">
        <f>100.0</f>
        <v>100.0</v>
      </c>
    </row>
    <row r="74">
      <c r="A74" s="3" t="s">
        <v>87</v>
      </c>
      <c r="B74" s="4" t="s">
        <v>90</v>
      </c>
      <c r="C74" s="4" t="s">
        <v>91</v>
      </c>
      <c r="D74" s="3" t="n">
        <v>3.0</v>
      </c>
      <c r="E74" s="4" t="s">
        <v>13</v>
      </c>
      <c r="F74" s="4" t="s">
        <v>14</v>
      </c>
      <c r="G74" s="4" t="s">
        <v>15</v>
      </c>
      <c r="H74" s="5" t="n">
        <f>100.0</f>
        <v>100.0</v>
      </c>
    </row>
    <row r="75">
      <c r="A75" s="3" t="s">
        <v>87</v>
      </c>
      <c r="B75" s="4" t="s">
        <v>90</v>
      </c>
      <c r="C75" s="4" t="s">
        <v>91</v>
      </c>
      <c r="D75" s="3" t="n">
        <v>5.0</v>
      </c>
      <c r="E75" s="4" t="s">
        <v>28</v>
      </c>
      <c r="F75" s="4" t="s">
        <v>29</v>
      </c>
      <c r="G75" s="4" t="s">
        <v>30</v>
      </c>
      <c r="H75" s="5" t="n">
        <f>4.0</f>
        <v>4.0</v>
      </c>
    </row>
    <row r="76">
      <c r="A76" s="3" t="s">
        <v>87</v>
      </c>
      <c r="B76" s="4" t="s">
        <v>92</v>
      </c>
      <c r="C76" s="4" t="s">
        <v>93</v>
      </c>
      <c r="D76" s="3" t="n">
        <v>1.0</v>
      </c>
      <c r="E76" s="4" t="s">
        <v>28</v>
      </c>
      <c r="F76" s="4" t="s">
        <v>29</v>
      </c>
      <c r="G76" s="4" t="s">
        <v>30</v>
      </c>
      <c r="H76" s="5" t="n">
        <f>6.0</f>
        <v>6.0</v>
      </c>
    </row>
    <row r="77">
      <c r="A77" s="3" t="s">
        <v>87</v>
      </c>
      <c r="B77" s="4" t="s">
        <v>94</v>
      </c>
      <c r="C77" s="4" t="s">
        <v>95</v>
      </c>
      <c r="D77" s="3" t="n">
        <v>1.0</v>
      </c>
      <c r="E77" s="4" t="s">
        <v>28</v>
      </c>
      <c r="F77" s="4" t="s">
        <v>29</v>
      </c>
      <c r="G77" s="4" t="s">
        <v>30</v>
      </c>
      <c r="H77" s="5" t="n">
        <f>2.0</f>
        <v>2.0</v>
      </c>
    </row>
    <row r="78">
      <c r="A78" s="3" t="s">
        <v>87</v>
      </c>
      <c r="B78" s="4" t="s">
        <v>96</v>
      </c>
      <c r="C78" s="4" t="s">
        <v>97</v>
      </c>
      <c r="D78" s="3" t="n">
        <v>1.0</v>
      </c>
      <c r="E78" s="4" t="s">
        <v>28</v>
      </c>
      <c r="F78" s="4" t="s">
        <v>29</v>
      </c>
      <c r="G78" s="4" t="s">
        <v>30</v>
      </c>
      <c r="H78" s="5" t="n">
        <f>2.0</f>
        <v>2.0</v>
      </c>
    </row>
    <row r="79">
      <c r="A79" s="3" t="s">
        <v>87</v>
      </c>
      <c r="B79" s="4" t="s">
        <v>98</v>
      </c>
      <c r="C79" s="4" t="s">
        <v>99</v>
      </c>
      <c r="D79" s="3" t="n">
        <v>1.0</v>
      </c>
      <c r="E79" s="4" t="s">
        <v>28</v>
      </c>
      <c r="F79" s="4" t="s">
        <v>29</v>
      </c>
      <c r="G79" s="4" t="s">
        <v>30</v>
      </c>
      <c r="H79" s="5" t="n">
        <f>144.0</f>
        <v>144.0</v>
      </c>
    </row>
    <row r="80">
      <c r="A80" s="3" t="s">
        <v>87</v>
      </c>
      <c r="B80" s="4" t="s">
        <v>100</v>
      </c>
      <c r="C80" s="4" t="s">
        <v>101</v>
      </c>
      <c r="D80" s="3" t="n">
        <v>1.0</v>
      </c>
      <c r="E80" s="4" t="s">
        <v>28</v>
      </c>
      <c r="F80" s="4" t="s">
        <v>29</v>
      </c>
      <c r="G80" s="4" t="s">
        <v>30</v>
      </c>
      <c r="H80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