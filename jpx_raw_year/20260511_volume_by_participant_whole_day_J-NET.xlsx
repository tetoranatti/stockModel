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<sst xmlns="http://schemas.openxmlformats.org/spreadsheetml/2006/main" count="376" uniqueCount="92">
  <si>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</si>
  <si>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</si>
  <si>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</si>
  <si>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</si>
  <si>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</si>
  <si>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</si>
  <si>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</si>
  <si>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</si>
  <si>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</si>
  <si>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20260511</t>
  </si>
  <si>
    <t>NK225F</t>
  </si>
  <si>
    <t>161060018</t>
  </si>
  <si>
    <t>NIKKEI 225 FUT 2606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</si>
  <si>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</si>
  <si>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</si>
  <si>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</si>
  <si>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</si>
  <si>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</si>
  <si>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</si>
  <si>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</si>
  <si>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</si>
  <si>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</si>
  <si>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</si>
  <si>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</si>
  <si>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</si>
  <si>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</si>
  <si>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</si>
  <si>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</si>
  <si>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</si>
  <si>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</si>
  <si>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</si>
  <si>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</si>
  <si>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</si>
  <si>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</si>
  <si>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</si>
  <si>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</si>
  <si>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</si>
  <si>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</si>
  <si>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</si>
  <si>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</si>
  <si>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</si>
  <si>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</si>
  <si>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</si>
  <si>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</si>
  <si>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</si>
  <si>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</si>
  <si>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</si>
  <si>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</si>
  <si>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</si>
  <si>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</si>
  <si>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</si>
  <si>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</si>
  <si>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</si>
  <si>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</si>
  <si>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</si>
  <si>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</si>
  <si>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</si>
  <si>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</si>
  <si>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</si>
  <si>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</si>
  <si>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</si>
  <si>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</si>
  <si>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</si>
  <si>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</si>
  <si>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</si>
  <si>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</si>
  <si>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</si>
  <si>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</si>
  <si>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</si>
  <si>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</si>
  <si>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</si>
  <si>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</si>
  <si>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</si>
  <si>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</si>
  <si>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</si>
  <si>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</si>
  <si>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</si>
  <si>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</si>
  <si>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</si>
  <si>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</si>
  <si>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</si>
  <si>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</si>
  <si>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</si>
  <si>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</si>
  <si>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</si>
  <si>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</si>
  <si>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131302018</t>
  </si>
  <si>
    <t>NIKKEI 225 OOP P2606-62000</t>
  </si>
  <si>
    <t>191303018</t>
  </si>
  <si>
    <t>NIKKEI 225 OOP C2606-63000</t>
  </si>
  <si>
    <t>191182518</t>
  </si>
  <si>
    <t>NIKKEI 225 OOP C2606-62500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</si>
</sst>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5745.0</f>
        <v>5745.0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4387.0</f>
        <v>4387.0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2376.0</f>
        <v>2376.0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1856.0</f>
        <v>1856.0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1619.0</f>
        <v>1619.0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1534.0</f>
        <v>1534.0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1158.0</f>
        <v>1158.0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968.0</f>
        <v>968.0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932.0</f>
        <v>932.0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777.0</f>
        <v>777.0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685.0</f>
        <v>685.0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582.0</f>
        <v>582.0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344.0</f>
        <v>344.0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256.0</f>
        <v>256.0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193.0</f>
        <v>193.0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181.0</f>
        <v>181.0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96.0</f>
        <v>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94.0</f>
        <v>94.0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89.0</f>
        <v>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34.0</f>
        <v>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52</v>
      </c>
      <c r="F34" s="4" t="s">
        <v>53</v>
      </c>
      <c r="G34" s="4" t="s">
        <v>54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42206.0</f>
        <v>42206.0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52</v>
      </c>
      <c r="F36" s="4" t="s">
        <v>53</v>
      </c>
      <c r="G36" s="4" t="s">
        <v>54</v>
      </c>
      <c r="H36" s="5" t="n">
        <f>22386.0</f>
        <v>22386.0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70</v>
      </c>
      <c r="F37" s="4" t="s">
        <v>71</v>
      </c>
      <c r="G37" s="4" t="s">
        <v>72</v>
      </c>
      <c r="H37" s="5" t="n">
        <f>4942.0</f>
        <v>4942.0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64</v>
      </c>
      <c r="F38" s="4" t="s">
        <v>65</v>
      </c>
      <c r="G38" s="4" t="s">
        <v>66</v>
      </c>
      <c r="H38" s="5" t="n">
        <f>115.0</f>
        <v>115.0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115.0</f>
        <v>115.0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43</v>
      </c>
      <c r="F40" s="4" t="s">
        <v>44</v>
      </c>
      <c r="G40" s="4" t="s">
        <v>45</v>
      </c>
      <c r="H40" s="5" t="n">
        <f>52.0</f>
        <v>52.0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25</v>
      </c>
      <c r="F41" s="4" t="s">
        <v>26</v>
      </c>
      <c r="G41" s="4" t="s">
        <v>27</v>
      </c>
      <c r="H41" s="5" t="n">
        <f>20.0</f>
        <v>20.0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1000.0</f>
        <v>1000.0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28</v>
      </c>
      <c r="F43" s="4" t="s">
        <v>29</v>
      </c>
      <c r="G43" s="4" t="s">
        <v>30</v>
      </c>
      <c r="H43" s="5" t="n">
        <f>1000.0</f>
        <v>1000.0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37</v>
      </c>
      <c r="F44" s="4" t="s">
        <v>38</v>
      </c>
      <c r="G44" s="4" t="s">
        <v>39</v>
      </c>
      <c r="H44" s="5" t="n">
        <f>230.0</f>
        <v>230.0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70</v>
      </c>
      <c r="F45" s="4" t="s">
        <v>71</v>
      </c>
      <c r="G45" s="4" t="s">
        <v>72</v>
      </c>
      <c r="H45" s="5" t="n">
        <f>26.0</f>
        <v>26.0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70</v>
      </c>
      <c r="F46" s="4" t="s">
        <v>71</v>
      </c>
      <c r="G46" s="4" t="s">
        <v>72</v>
      </c>
      <c r="H46" s="5" t="n">
        <f>2.0</f>
        <v>2.0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2.0</f>
        <v>2.0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25</v>
      </c>
      <c r="F48" s="4" t="s">
        <v>26</v>
      </c>
      <c r="G48" s="4" t="s">
        <v>27</v>
      </c>
      <c r="H48" s="5" t="n">
        <f>5354.0</f>
        <v>5354.0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4462.0</f>
        <v>4462.0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46</v>
      </c>
      <c r="F50" s="4" t="s">
        <v>47</v>
      </c>
      <c r="G50" s="4" t="s">
        <v>48</v>
      </c>
      <c r="H50" s="5" t="n">
        <f>2951.0</f>
        <v>2951.0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16</v>
      </c>
      <c r="F51" s="4" t="s">
        <v>17</v>
      </c>
      <c r="G51" s="4" t="s">
        <v>18</v>
      </c>
      <c r="H51" s="5" t="n">
        <f>2091.0</f>
        <v>2091.0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34</v>
      </c>
      <c r="F52" s="4" t="s">
        <v>35</v>
      </c>
      <c r="G52" s="4" t="s">
        <v>36</v>
      </c>
      <c r="H52" s="5" t="n">
        <f>1145.0</f>
        <v>1145.0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49</v>
      </c>
      <c r="F53" s="4" t="s">
        <v>50</v>
      </c>
      <c r="G53" s="4" t="s">
        <v>51</v>
      </c>
      <c r="H53" s="5" t="n">
        <f>1042.0</f>
        <v>1042.0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64</v>
      </c>
      <c r="F54" s="4" t="s">
        <v>65</v>
      </c>
      <c r="G54" s="4" t="s">
        <v>66</v>
      </c>
      <c r="H54" s="5" t="n">
        <f>783.0</f>
        <v>783.0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28</v>
      </c>
      <c r="F55" s="4" t="s">
        <v>29</v>
      </c>
      <c r="G55" s="4" t="s">
        <v>30</v>
      </c>
      <c r="H55" s="5" t="n">
        <f>614.0</f>
        <v>614.0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43</v>
      </c>
      <c r="F56" s="4" t="s">
        <v>44</v>
      </c>
      <c r="G56" s="4" t="s">
        <v>45</v>
      </c>
      <c r="H56" s="5" t="n">
        <f>585.0</f>
        <v>585.0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13</v>
      </c>
      <c r="F57" s="4" t="s">
        <v>14</v>
      </c>
      <c r="G57" s="4" t="s">
        <v>15</v>
      </c>
      <c r="H57" s="5" t="n">
        <f>367.0</f>
        <v>367.0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55</v>
      </c>
      <c r="F58" s="4" t="s">
        <v>56</v>
      </c>
      <c r="G58" s="4" t="s">
        <v>57</v>
      </c>
      <c r="H58" s="5" t="n">
        <f>302.0</f>
        <v>302.0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37</v>
      </c>
      <c r="F59" s="4" t="s">
        <v>38</v>
      </c>
      <c r="G59" s="4" t="s">
        <v>39</v>
      </c>
      <c r="H59" s="5" t="n">
        <f>98.0</f>
        <v>98.0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22</v>
      </c>
      <c r="F60" s="4" t="s">
        <v>23</v>
      </c>
      <c r="G60" s="4" t="s">
        <v>24</v>
      </c>
      <c r="H60" s="5" t="n">
        <f>73.0</f>
        <v>73.0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40</v>
      </c>
      <c r="F61" s="4" t="s">
        <v>41</v>
      </c>
      <c r="G61" s="4" t="s">
        <v>42</v>
      </c>
      <c r="H61" s="5" t="n">
        <f>41.0</f>
        <v>41.0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31</v>
      </c>
      <c r="F62" s="4" t="s">
        <v>32</v>
      </c>
      <c r="G62" s="4" t="s">
        <v>33</v>
      </c>
      <c r="H62" s="5" t="n">
        <f>34.0</f>
        <v>34.0</v>
      </c>
    </row>
    <row r="63">
      <c r="A63" s="3" t="s">
        <v>82</v>
      </c>
      <c r="B63" s="4" t="s">
        <v>83</v>
      </c>
      <c r="C63" s="4" t="s">
        <v>84</v>
      </c>
      <c r="D63" s="3" t="n">
        <v>16.0</v>
      </c>
      <c r="E63" s="4" t="s">
        <v>70</v>
      </c>
      <c r="F63" s="4" t="s">
        <v>71</v>
      </c>
      <c r="G63" s="4" t="s">
        <v>72</v>
      </c>
      <c r="H63" s="5" t="n">
        <f>2.0</f>
        <v>2.0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37</v>
      </c>
      <c r="F64" s="4" t="s">
        <v>38</v>
      </c>
      <c r="G64" s="4" t="s">
        <v>39</v>
      </c>
      <c r="H64" s="5" t="n">
        <f>4.0</f>
        <v>4.0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400.0</f>
        <v>400.0</v>
      </c>
    </row>
    <row r="66">
      <c r="A66" s="3" t="s">
        <v>85</v>
      </c>
      <c r="B66" s="4" t="s">
        <v>88</v>
      </c>
      <c r="C66" s="4" t="s">
        <v>89</v>
      </c>
      <c r="D66" s="3" t="n">
        <v>2.0</v>
      </c>
      <c r="E66" s="4" t="s">
        <v>46</v>
      </c>
      <c r="F66" s="4" t="s">
        <v>47</v>
      </c>
      <c r="G66" s="4" t="s">
        <v>48</v>
      </c>
      <c r="H66" s="5" t="n">
        <f>200.0</f>
        <v>200.0</v>
      </c>
    </row>
    <row r="67">
      <c r="A67" s="3" t="s">
        <v>85</v>
      </c>
      <c r="B67" s="4" t="s">
        <v>88</v>
      </c>
      <c r="C67" s="4" t="s">
        <v>89</v>
      </c>
      <c r="D67" s="3" t="n">
        <v>2.0</v>
      </c>
      <c r="E67" s="4" t="s">
        <v>28</v>
      </c>
      <c r="F67" s="4" t="s">
        <v>29</v>
      </c>
      <c r="G67" s="4" t="s">
        <v>30</v>
      </c>
      <c r="H67" s="5" t="n">
        <f>200.0</f>
        <v>200.0</v>
      </c>
    </row>
    <row r="68">
      <c r="A68" s="3" t="s">
        <v>85</v>
      </c>
      <c r="B68" s="4" t="s">
        <v>88</v>
      </c>
      <c r="C68" s="4" t="s">
        <v>89</v>
      </c>
      <c r="D68" s="3" t="n">
        <v>4.0</v>
      </c>
      <c r="E68" s="4" t="s">
        <v>52</v>
      </c>
      <c r="F68" s="4" t="s">
        <v>53</v>
      </c>
      <c r="G68" s="4" t="s">
        <v>54</v>
      </c>
      <c r="H68" s="5" t="n">
        <f>2.0</f>
        <v>2.0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