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<sst xmlns="http://schemas.openxmlformats.org/spreadsheetml/2006/main" count="298" uniqueCount="88">
  <si>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</si>
  <si>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</si>
  <si>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</si>
  <si>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</si>
  <si>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</si>
  <si>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</si>
  <si>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</si>
  <si>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</si>
  <si>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</si>
  <si>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20251225</t>
  </si>
  <si>
    <t>NK225F</t>
  </si>
  <si>
    <t>161030018</t>
  </si>
  <si>
    <t>NIKKEI 225 FUT 2603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</si>
  <si>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</si>
  <si>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</si>
  <si>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</si>
  <si>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</si>
  <si>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</si>
  <si>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</si>
  <si>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</si>
  <si>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</si>
  <si>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</si>
  <si>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</si>
  <si>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</si>
  <si>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</si>
  <si>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</si>
  <si>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</si>
  <si>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</si>
  <si>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</si>
  <si>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</si>
  <si>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</si>
  <si>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</si>
  <si>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</si>
  <si>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</si>
  <si>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</si>
  <si>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</si>
  <si>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</si>
  <si>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</si>
  <si>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</si>
  <si>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</si>
  <si>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</si>
  <si>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</si>
  <si>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</si>
  <si>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</si>
  <si>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</si>
  <si>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</si>
  <si>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</si>
  <si>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</si>
  <si>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</si>
  <si>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</si>
  <si>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</si>
  <si>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</si>
  <si>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</si>
  <si>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</si>
  <si>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</si>
  <si>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</si>
  <si>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</si>
  <si>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</si>
  <si>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</si>
  <si>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</si>
  <si>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</si>
  <si>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</si>
  <si>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</si>
  <si>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</si>
  <si>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</si>
  <si>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</si>
  <si>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</si>
  <si>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12800</t>
  </si>
  <si>
    <t>モルガンＭＵＦＧ証券</t>
  </si>
  <si>
    <t>Morgan Stanley MUFG Securities</t>
  </si>
  <si>
    <t>TOPIXF</t>
  </si>
  <si>
    <t>161030005</t>
  </si>
  <si>
    <t>TOPIX FUT 2603</t>
  </si>
  <si>
    <t>161060005</t>
  </si>
  <si>
    <t>TOPIX FUT 2606</t>
  </si>
  <si>
    <t>NK225E</t>
  </si>
  <si>
    <t>131139518</t>
  </si>
  <si>
    <t>NIKKEI 225 OOP P2601-49500</t>
  </si>
  <si>
    <t>131130018</t>
  </si>
  <si>
    <t>NIKKEI 225 OOP P2601-50000</t>
  </si>
  <si>
    <t>131010318</t>
  </si>
  <si>
    <t>NIKKEI 225 OOP P2601-50375</t>
  </si>
  <si>
    <t>141131018</t>
  </si>
  <si>
    <t>NIKKEI 225 OOP C2601-51000</t>
  </si>
  <si>
    <t>141130518</t>
  </si>
  <si>
    <t>NIKKEI 225 OOP C2601-50500</t>
  </si>
  <si>
    <t>141010318</t>
  </si>
  <si>
    <t>NIKKEI 225 OOP C2601-50375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</si>
</sst>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472.0</f>
        <v>472.0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400.0</f>
        <v>400.0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371.0</f>
        <v>371.0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172.0</f>
        <v>172.0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120.0</f>
        <v>120.0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102.0</f>
        <v>102.0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85.0</f>
        <v>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66.0</f>
        <v>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60.0</f>
        <v>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57.0</f>
        <v>57.0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55.0</f>
        <v>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49.0</f>
        <v>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32.0</f>
        <v>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28.0</f>
        <v>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17.0</f>
        <v>17.0</v>
      </c>
    </row>
    <row r="24">
      <c r="A24" s="3" t="s">
        <v>10</v>
      </c>
      <c r="B24" s="4" t="s">
        <v>58</v>
      </c>
      <c r="C24" s="4" t="s">
        <v>59</v>
      </c>
      <c r="D24" s="3" t="n">
        <v>1.0</v>
      </c>
      <c r="E24" s="4" t="s">
        <v>34</v>
      </c>
      <c r="F24" s="4" t="s">
        <v>35</v>
      </c>
      <c r="G24" s="4" t="s">
        <v>36</v>
      </c>
      <c r="H24" s="5" t="n">
        <f>4.0</f>
        <v>4.0</v>
      </c>
    </row>
    <row r="25">
      <c r="A25" s="3" t="s">
        <v>60</v>
      </c>
      <c r="B25" s="4" t="s">
        <v>61</v>
      </c>
      <c r="C25" s="4" t="s">
        <v>62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784.0</f>
        <v>784.0</v>
      </c>
    </row>
    <row r="26">
      <c r="A26" s="3" t="s">
        <v>60</v>
      </c>
      <c r="B26" s="4" t="s">
        <v>61</v>
      </c>
      <c r="C26" s="4" t="s">
        <v>62</v>
      </c>
      <c r="D26" s="3" t="n">
        <v>2.0</v>
      </c>
      <c r="E26" s="4" t="s">
        <v>34</v>
      </c>
      <c r="F26" s="4" t="s">
        <v>35</v>
      </c>
      <c r="G26" s="4" t="s">
        <v>36</v>
      </c>
      <c r="H26" s="5" t="n">
        <f>590.0</f>
        <v>590.0</v>
      </c>
    </row>
    <row r="27">
      <c r="A27" s="3" t="s">
        <v>60</v>
      </c>
      <c r="B27" s="4" t="s">
        <v>61</v>
      </c>
      <c r="C27" s="4" t="s">
        <v>62</v>
      </c>
      <c r="D27" s="3" t="n">
        <v>3.0</v>
      </c>
      <c r="E27" s="4" t="s">
        <v>49</v>
      </c>
      <c r="F27" s="4" t="s">
        <v>50</v>
      </c>
      <c r="G27" s="4" t="s">
        <v>51</v>
      </c>
      <c r="H27" s="5" t="n">
        <f>64.0</f>
        <v>64.0</v>
      </c>
    </row>
    <row r="28">
      <c r="A28" s="3" t="s">
        <v>60</v>
      </c>
      <c r="B28" s="4" t="s">
        <v>63</v>
      </c>
      <c r="C28" s="4" t="s">
        <v>64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38.0</f>
        <v>38.0</v>
      </c>
    </row>
    <row r="29">
      <c r="A29" s="3" t="s">
        <v>60</v>
      </c>
      <c r="B29" s="4" t="s">
        <v>63</v>
      </c>
      <c r="C29" s="4" t="s">
        <v>64</v>
      </c>
      <c r="D29" s="3" t="n">
        <v>2.0</v>
      </c>
      <c r="E29" s="4" t="s">
        <v>34</v>
      </c>
      <c r="F29" s="4" t="s">
        <v>35</v>
      </c>
      <c r="G29" s="4" t="s">
        <v>36</v>
      </c>
      <c r="H29" s="5" t="n">
        <f>18.0</f>
        <v>18.0</v>
      </c>
    </row>
    <row r="30">
      <c r="A30" s="3" t="s">
        <v>60</v>
      </c>
      <c r="B30" s="4" t="s">
        <v>63</v>
      </c>
      <c r="C30" s="4" t="s">
        <v>64</v>
      </c>
      <c r="D30" s="3" t="n">
        <v>3.0</v>
      </c>
      <c r="E30" s="4" t="s">
        <v>49</v>
      </c>
      <c r="F30" s="4" t="s">
        <v>50</v>
      </c>
      <c r="G30" s="4" t="s">
        <v>51</v>
      </c>
      <c r="H30" s="5" t="n">
        <f>2.0</f>
        <v>2.0</v>
      </c>
    </row>
    <row r="31">
      <c r="A31" s="3" t="s">
        <v>60</v>
      </c>
      <c r="B31" s="4" t="s">
        <v>65</v>
      </c>
      <c r="C31" s="4" t="s">
        <v>66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12866.0</f>
        <v>12866.0</v>
      </c>
    </row>
    <row r="32">
      <c r="A32" s="3" t="s">
        <v>60</v>
      </c>
      <c r="B32" s="4" t="s">
        <v>65</v>
      </c>
      <c r="C32" s="4" t="s">
        <v>66</v>
      </c>
      <c r="D32" s="3" t="n">
        <v>2.0</v>
      </c>
      <c r="E32" s="4" t="s">
        <v>34</v>
      </c>
      <c r="F32" s="4" t="s">
        <v>35</v>
      </c>
      <c r="G32" s="4" t="s">
        <v>36</v>
      </c>
      <c r="H32" s="5" t="n">
        <f>8196.0</f>
        <v>8196.0</v>
      </c>
    </row>
    <row r="33">
      <c r="A33" s="3" t="s">
        <v>60</v>
      </c>
      <c r="B33" s="4" t="s">
        <v>65</v>
      </c>
      <c r="C33" s="4" t="s">
        <v>66</v>
      </c>
      <c r="D33" s="3" t="n">
        <v>3.0</v>
      </c>
      <c r="E33" s="4" t="s">
        <v>49</v>
      </c>
      <c r="F33" s="4" t="s">
        <v>50</v>
      </c>
      <c r="G33" s="4" t="s">
        <v>51</v>
      </c>
      <c r="H33" s="5" t="n">
        <f>2876.0</f>
        <v>2876.0</v>
      </c>
    </row>
    <row r="34">
      <c r="A34" s="3" t="s">
        <v>60</v>
      </c>
      <c r="B34" s="4" t="s">
        <v>65</v>
      </c>
      <c r="C34" s="4" t="s">
        <v>66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542.0</f>
        <v>542.0</v>
      </c>
    </row>
    <row r="35">
      <c r="A35" s="3" t="s">
        <v>60</v>
      </c>
      <c r="B35" s="4" t="s">
        <v>65</v>
      </c>
      <c r="C35" s="4" t="s">
        <v>66</v>
      </c>
      <c r="D35" s="3" t="n">
        <v>5.0</v>
      </c>
      <c r="E35" s="4" t="s">
        <v>46</v>
      </c>
      <c r="F35" s="4" t="s">
        <v>47</v>
      </c>
      <c r="G35" s="4" t="s">
        <v>48</v>
      </c>
      <c r="H35" s="5" t="n">
        <f>492.0</f>
        <v>492.0</v>
      </c>
    </row>
    <row r="36">
      <c r="A36" s="3" t="s">
        <v>60</v>
      </c>
      <c r="B36" s="4" t="s">
        <v>65</v>
      </c>
      <c r="C36" s="4" t="s">
        <v>66</v>
      </c>
      <c r="D36" s="3" t="n">
        <v>6.0</v>
      </c>
      <c r="E36" s="4" t="s">
        <v>43</v>
      </c>
      <c r="F36" s="4" t="s">
        <v>44</v>
      </c>
      <c r="G36" s="4" t="s">
        <v>45</v>
      </c>
      <c r="H36" s="5" t="n">
        <f>7.0</f>
        <v>7.0</v>
      </c>
    </row>
    <row r="37">
      <c r="A37" s="3" t="s">
        <v>60</v>
      </c>
      <c r="B37" s="4" t="s">
        <v>65</v>
      </c>
      <c r="C37" s="4" t="s">
        <v>66</v>
      </c>
      <c r="D37" s="3" t="n">
        <v>6.0</v>
      </c>
      <c r="E37" s="4" t="s">
        <v>67</v>
      </c>
      <c r="F37" s="4" t="s">
        <v>68</v>
      </c>
      <c r="G37" s="4" t="s">
        <v>69</v>
      </c>
      <c r="H37" s="5" t="n">
        <f>7.0</f>
        <v>7.0</v>
      </c>
    </row>
    <row r="38">
      <c r="A38" s="3" t="s">
        <v>70</v>
      </c>
      <c r="B38" s="4" t="s">
        <v>71</v>
      </c>
      <c r="C38" s="4" t="s">
        <v>72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556.0</f>
        <v>556.0</v>
      </c>
    </row>
    <row r="39">
      <c r="A39" s="3" t="s">
        <v>70</v>
      </c>
      <c r="B39" s="4" t="s">
        <v>71</v>
      </c>
      <c r="C39" s="4" t="s">
        <v>72</v>
      </c>
      <c r="D39" s="3" t="n">
        <v>2.0</v>
      </c>
      <c r="E39" s="4" t="s">
        <v>55</v>
      </c>
      <c r="F39" s="4" t="s">
        <v>56</v>
      </c>
      <c r="G39" s="4" t="s">
        <v>57</v>
      </c>
      <c r="H39" s="5" t="n">
        <f>356.0</f>
        <v>356.0</v>
      </c>
    </row>
    <row r="40">
      <c r="A40" s="3" t="s">
        <v>70</v>
      </c>
      <c r="B40" s="4" t="s">
        <v>71</v>
      </c>
      <c r="C40" s="4" t="s">
        <v>72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204.0</f>
        <v>204.0</v>
      </c>
    </row>
    <row r="41">
      <c r="A41" s="3" t="s">
        <v>70</v>
      </c>
      <c r="B41" s="4" t="s">
        <v>71</v>
      </c>
      <c r="C41" s="4" t="s">
        <v>72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172.0</f>
        <v>172.0</v>
      </c>
    </row>
    <row r="42">
      <c r="A42" s="3" t="s">
        <v>70</v>
      </c>
      <c r="B42" s="4" t="s">
        <v>71</v>
      </c>
      <c r="C42" s="4" t="s">
        <v>72</v>
      </c>
      <c r="D42" s="3" t="n">
        <v>5.0</v>
      </c>
      <c r="E42" s="4" t="s">
        <v>31</v>
      </c>
      <c r="F42" s="4" t="s">
        <v>32</v>
      </c>
      <c r="G42" s="4" t="s">
        <v>33</v>
      </c>
      <c r="H42" s="5" t="n">
        <f>157.0</f>
        <v>157.0</v>
      </c>
    </row>
    <row r="43">
      <c r="A43" s="3" t="s">
        <v>70</v>
      </c>
      <c r="B43" s="4" t="s">
        <v>71</v>
      </c>
      <c r="C43" s="4" t="s">
        <v>72</v>
      </c>
      <c r="D43" s="3" t="n">
        <v>6.0</v>
      </c>
      <c r="E43" s="4" t="s">
        <v>25</v>
      </c>
      <c r="F43" s="4" t="s">
        <v>26</v>
      </c>
      <c r="G43" s="4" t="s">
        <v>27</v>
      </c>
      <c r="H43" s="5" t="n">
        <f>155.0</f>
        <v>155.0</v>
      </c>
    </row>
    <row r="44">
      <c r="A44" s="3" t="s">
        <v>70</v>
      </c>
      <c r="B44" s="4" t="s">
        <v>71</v>
      </c>
      <c r="C44" s="4" t="s">
        <v>72</v>
      </c>
      <c r="D44" s="3" t="n">
        <v>7.0</v>
      </c>
      <c r="E44" s="4" t="s">
        <v>28</v>
      </c>
      <c r="F44" s="4" t="s">
        <v>29</v>
      </c>
      <c r="G44" s="4" t="s">
        <v>30</v>
      </c>
      <c r="H44" s="5" t="n">
        <f>55.0</f>
        <v>55.0</v>
      </c>
    </row>
    <row r="45">
      <c r="A45" s="3" t="s">
        <v>70</v>
      </c>
      <c r="B45" s="4" t="s">
        <v>71</v>
      </c>
      <c r="C45" s="4" t="s">
        <v>72</v>
      </c>
      <c r="D45" s="3" t="n">
        <v>8.0</v>
      </c>
      <c r="E45" s="4" t="s">
        <v>13</v>
      </c>
      <c r="F45" s="4" t="s">
        <v>14</v>
      </c>
      <c r="G45" s="4" t="s">
        <v>15</v>
      </c>
      <c r="H45" s="5" t="n">
        <f>36.0</f>
        <v>36.0</v>
      </c>
    </row>
    <row r="46">
      <c r="A46" s="3" t="s">
        <v>70</v>
      </c>
      <c r="B46" s="4" t="s">
        <v>71</v>
      </c>
      <c r="C46" s="4" t="s">
        <v>72</v>
      </c>
      <c r="D46" s="3" t="n">
        <v>9.0</v>
      </c>
      <c r="E46" s="4" t="s">
        <v>49</v>
      </c>
      <c r="F46" s="4" t="s">
        <v>50</v>
      </c>
      <c r="G46" s="4" t="s">
        <v>51</v>
      </c>
      <c r="H46" s="5" t="n">
        <f>32.0</f>
        <v>32.0</v>
      </c>
    </row>
    <row r="47">
      <c r="A47" s="3" t="s">
        <v>70</v>
      </c>
      <c r="B47" s="4" t="s">
        <v>71</v>
      </c>
      <c r="C47" s="4" t="s">
        <v>72</v>
      </c>
      <c r="D47" s="3" t="n">
        <v>9.0</v>
      </c>
      <c r="E47" s="4" t="s">
        <v>16</v>
      </c>
      <c r="F47" s="4" t="s">
        <v>17</v>
      </c>
      <c r="G47" s="4" t="s">
        <v>18</v>
      </c>
      <c r="H47" s="5" t="n">
        <f>32.0</f>
        <v>32.0</v>
      </c>
    </row>
    <row r="48">
      <c r="A48" s="3" t="s">
        <v>70</v>
      </c>
      <c r="B48" s="4" t="s">
        <v>71</v>
      </c>
      <c r="C48" s="4" t="s">
        <v>72</v>
      </c>
      <c r="D48" s="3" t="n">
        <v>11.0</v>
      </c>
      <c r="E48" s="4" t="s">
        <v>40</v>
      </c>
      <c r="F48" s="4" t="s">
        <v>41</v>
      </c>
      <c r="G48" s="4" t="s">
        <v>42</v>
      </c>
      <c r="H48" s="5" t="n">
        <f>23.0</f>
        <v>23.0</v>
      </c>
    </row>
    <row r="49">
      <c r="A49" s="3" t="s">
        <v>70</v>
      </c>
      <c r="B49" s="4" t="s">
        <v>73</v>
      </c>
      <c r="C49" s="4" t="s">
        <v>74</v>
      </c>
      <c r="D49" s="3" t="n">
        <v>1.0</v>
      </c>
      <c r="E49" s="4" t="s">
        <v>55</v>
      </c>
      <c r="F49" s="4" t="s">
        <v>56</v>
      </c>
      <c r="G49" s="4" t="s">
        <v>57</v>
      </c>
      <c r="H49" s="5" t="n">
        <f>300.0</f>
        <v>300.0</v>
      </c>
    </row>
    <row r="50">
      <c r="A50" s="3" t="s">
        <v>70</v>
      </c>
      <c r="B50" s="4" t="s">
        <v>73</v>
      </c>
      <c r="C50" s="4" t="s">
        <v>74</v>
      </c>
      <c r="D50" s="3" t="n">
        <v>1.0</v>
      </c>
      <c r="E50" s="4" t="s">
        <v>22</v>
      </c>
      <c r="F50" s="4" t="s">
        <v>23</v>
      </c>
      <c r="G50" s="4" t="s">
        <v>24</v>
      </c>
      <c r="H50" s="5" t="n">
        <f>300.0</f>
        <v>300.0</v>
      </c>
    </row>
    <row r="51">
      <c r="A51" s="3" t="s">
        <v>75</v>
      </c>
      <c r="B51" s="4" t="s">
        <v>76</v>
      </c>
      <c r="C51" s="4" t="s">
        <v>77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6.0</f>
        <v>6.0</v>
      </c>
    </row>
    <row r="52">
      <c r="A52" s="3" t="s">
        <v>75</v>
      </c>
      <c r="B52" s="4" t="s">
        <v>78</v>
      </c>
      <c r="C52" s="4" t="s">
        <v>79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4.0</f>
        <v>4.0</v>
      </c>
    </row>
    <row r="53">
      <c r="A53" s="3" t="s">
        <v>75</v>
      </c>
      <c r="B53" s="4" t="s">
        <v>80</v>
      </c>
      <c r="C53" s="4" t="s">
        <v>81</v>
      </c>
      <c r="D53" s="3" t="n">
        <v>1.0</v>
      </c>
      <c r="E53" s="4" t="s">
        <v>25</v>
      </c>
      <c r="F53" s="4" t="s">
        <v>26</v>
      </c>
      <c r="G53" s="4" t="s">
        <v>27</v>
      </c>
      <c r="H53" s="5" t="n">
        <f>20.0</f>
        <v>20.0</v>
      </c>
    </row>
    <row r="54">
      <c r="A54" s="3" t="s">
        <v>75</v>
      </c>
      <c r="B54" s="4" t="s">
        <v>82</v>
      </c>
      <c r="C54" s="4" t="s">
        <v>83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8.0</f>
        <v>8.0</v>
      </c>
    </row>
    <row r="55">
      <c r="A55" s="3" t="s">
        <v>75</v>
      </c>
      <c r="B55" s="4" t="s">
        <v>84</v>
      </c>
      <c r="C55" s="4" t="s">
        <v>85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6.0</f>
        <v>6.0</v>
      </c>
    </row>
    <row r="56">
      <c r="A56" s="3" t="s">
        <v>75</v>
      </c>
      <c r="B56" s="4" t="s">
        <v>86</v>
      </c>
      <c r="C56" s="4" t="s">
        <v>87</v>
      </c>
      <c r="D56" s="3" t="n">
        <v>1.0</v>
      </c>
      <c r="E56" s="4" t="s">
        <v>25</v>
      </c>
      <c r="F56" s="4" t="s">
        <v>26</v>
      </c>
      <c r="G56" s="4" t="s">
        <v>27</v>
      </c>
      <c r="H5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