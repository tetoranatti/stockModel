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<sst xmlns="http://schemas.openxmlformats.org/spreadsheetml/2006/main" count="496" uniqueCount="112">
  <si>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</si>
  <si>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</si>
  <si>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</si>
  <si>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</si>
  <si>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</si>
  <si>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</si>
  <si>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</si>
  <si>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</si>
  <si>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</si>
  <si>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20250929</t>
  </si>
  <si>
    <t>NK225F</t>
  </si>
  <si>
    <t>160120018</t>
  </si>
  <si>
    <t>NIKKEI 225 FUT 2512</t>
  </si>
  <si>
    <t>12400</t>
  </si>
  <si>
    <t>野村証券</t>
  </si>
  <si>
    <t>The Nomura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</si>
  <si>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</si>
  <si>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</si>
  <si>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</si>
  <si>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</si>
  <si>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</si>
  <si>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</si>
  <si>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</si>
  <si>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</si>
  <si>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</si>
  <si>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</si>
  <si>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</si>
  <si>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</si>
  <si>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</si>
  <si>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</si>
  <si>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</si>
  <si>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</si>
  <si>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</si>
  <si>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</si>
  <si>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</si>
  <si>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</si>
  <si>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</si>
  <si>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11256</t>
  </si>
  <si>
    <t>ＳＢＩ証券</t>
  </si>
  <si>
    <t>SBI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</si>
  <si>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</si>
  <si>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</si>
  <si>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</si>
  <si>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</si>
  <si>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</si>
  <si>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</si>
  <si>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</si>
  <si>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</si>
  <si>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</si>
  <si>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</si>
  <si>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</si>
  <si>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</si>
  <si>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</si>
  <si>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</si>
  <si>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</si>
  <si>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12057</t>
  </si>
  <si>
    <t>楽天証券</t>
  </si>
  <si>
    <t>Rakuten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</si>
  <si>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</si>
  <si>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</si>
  <si>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</si>
  <si>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</si>
  <si>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</si>
  <si>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</si>
  <si>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</si>
  <si>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</si>
  <si>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</si>
  <si>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</si>
  <si>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</si>
  <si>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</si>
  <si>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</si>
  <si>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</si>
  <si>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</si>
  <si>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</si>
  <si>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</si>
  <si>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</si>
  <si>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</si>
  <si>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</si>
  <si>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</si>
  <si>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</si>
  <si>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</si>
  <si>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</si>
  <si>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</si>
  <si>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</si>
  <si>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</si>
  <si>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</si>
  <si>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130224018</t>
  </si>
  <si>
    <t>NIKKEI 225 OOP P2510-44000</t>
  </si>
  <si>
    <t>180104218</t>
  </si>
  <si>
    <t>NIKKEI 225 OOP P2510-44250</t>
  </si>
  <si>
    <t>180104518</t>
  </si>
  <si>
    <t>NIKKEI 225 OOP P2510-44500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</si>
  <si>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</si>
  <si>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</si>
  <si>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</si>
  <si>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</si>
  <si>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</si>
  <si>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</si>
  <si>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180105218</t>
  </si>
  <si>
    <t>NIKKEI 225 OOP P2510-45250</t>
  </si>
  <si>
    <t>140226018</t>
  </si>
  <si>
    <t>NIKKEI 225 OOP C2510-46000</t>
  </si>
  <si>
    <t>140105818</t>
  </si>
  <si>
    <t>NIKKEI 225 OOP C2510-45875</t>
  </si>
  <si>
    <t>190105718</t>
  </si>
  <si>
    <t>NIKKEI 225 OOP C2510-45750</t>
  </si>
  <si>
    <t>190105518</t>
  </si>
  <si>
    <t>NIKKEI 225 OOP C2510-45500</t>
  </si>
  <si>
    <t>190105218</t>
  </si>
  <si>
    <t>NIKKEI 225 OOP C2510-45250</t>
  </si>
  <si>
    <t>140225018</t>
  </si>
  <si>
    <t>NIKKEI 225 OOP C2510-45000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</si>
</sst>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7633.0</f>
        <v>7633.0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3108.0</f>
        <v>3108.0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1372.0</f>
        <v>1372.0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1006.0</f>
        <v>1006.0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954.0</f>
        <v>954.0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925.0</f>
        <v>925.0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628.0</f>
        <v>628.0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588.0</f>
        <v>588.0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570.0</f>
        <v>570.0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501.0</f>
        <v>501.0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433.0</f>
        <v>433.0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429.0</f>
        <v>429.0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400.0</f>
        <v>400.0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289.0</f>
        <v>289.0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202.0</f>
        <v>202.0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137.0</f>
        <v>137.0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121.0</f>
        <v>121.0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113.0</f>
        <v>113.0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26.0</f>
        <v>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17.0</f>
        <v>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19</v>
      </c>
      <c r="F31" s="4" t="s">
        <v>20</v>
      </c>
      <c r="G31" s="4" t="s">
        <v>21</v>
      </c>
      <c r="H31" s="5" t="n">
        <f>3000.0</f>
        <v>3000.0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3000.0</f>
        <v>3000.0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37</v>
      </c>
      <c r="F33" s="4" t="s">
        <v>38</v>
      </c>
      <c r="G33" s="4" t="s">
        <v>39</v>
      </c>
      <c r="H33" s="5" t="n">
        <f>2092.0</f>
        <v>2092.0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55</v>
      </c>
      <c r="F34" s="4" t="s">
        <v>56</v>
      </c>
      <c r="G34" s="4" t="s">
        <v>57</v>
      </c>
      <c r="H34" s="5" t="n">
        <f>1686.0</f>
        <v>1686.0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22</v>
      </c>
      <c r="F35" s="4" t="s">
        <v>23</v>
      </c>
      <c r="G35" s="4" t="s">
        <v>24</v>
      </c>
      <c r="H35" s="5" t="n">
        <f>1000.0</f>
        <v>1000.0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64</v>
      </c>
      <c r="F36" s="4" t="s">
        <v>65</v>
      </c>
      <c r="G36" s="4" t="s">
        <v>66</v>
      </c>
      <c r="H36" s="5" t="n">
        <f>1000.0</f>
        <v>1000.0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67</v>
      </c>
      <c r="F37" s="4" t="s">
        <v>68</v>
      </c>
      <c r="G37" s="4" t="s">
        <v>69</v>
      </c>
      <c r="H37" s="5" t="n">
        <f>40.0</f>
        <v>40.0</v>
      </c>
    </row>
    <row r="38">
      <c r="A38" s="3" t="s">
        <v>75</v>
      </c>
      <c r="B38" s="4" t="s">
        <v>78</v>
      </c>
      <c r="C38" s="4" t="s">
        <v>79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2000.0</f>
        <v>2000.0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64</v>
      </c>
      <c r="F39" s="4" t="s">
        <v>65</v>
      </c>
      <c r="G39" s="4" t="s">
        <v>66</v>
      </c>
      <c r="H39" s="5" t="n">
        <f>1000.0</f>
        <v>1000.0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31</v>
      </c>
      <c r="F40" s="4" t="s">
        <v>32</v>
      </c>
      <c r="G40" s="4" t="s">
        <v>33</v>
      </c>
      <c r="H40" s="5" t="n">
        <f>1000.0</f>
        <v>1000.0</v>
      </c>
    </row>
    <row r="41">
      <c r="A41" s="3" t="s">
        <v>75</v>
      </c>
      <c r="B41" s="4" t="s">
        <v>78</v>
      </c>
      <c r="C41" s="4" t="s">
        <v>79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70.0</f>
        <v>70.0</v>
      </c>
    </row>
    <row r="42">
      <c r="A42" s="3" t="s">
        <v>75</v>
      </c>
      <c r="B42" s="4" t="s">
        <v>78</v>
      </c>
      <c r="C42" s="4" t="s">
        <v>79</v>
      </c>
      <c r="D42" s="3" t="n">
        <v>5.0</v>
      </c>
      <c r="E42" s="4" t="s">
        <v>55</v>
      </c>
      <c r="F42" s="4" t="s">
        <v>56</v>
      </c>
      <c r="G42" s="4" t="s">
        <v>57</v>
      </c>
      <c r="H42" s="5" t="n">
        <f>48.0</f>
        <v>48.0</v>
      </c>
    </row>
    <row r="43">
      <c r="A43" s="3" t="s">
        <v>75</v>
      </c>
      <c r="B43" s="4" t="s">
        <v>78</v>
      </c>
      <c r="C43" s="4" t="s">
        <v>79</v>
      </c>
      <c r="D43" s="3" t="n">
        <v>6.0</v>
      </c>
      <c r="E43" s="4" t="s">
        <v>67</v>
      </c>
      <c r="F43" s="4" t="s">
        <v>68</v>
      </c>
      <c r="G43" s="4" t="s">
        <v>69</v>
      </c>
      <c r="H43" s="5" t="n">
        <f>14.0</f>
        <v>14.0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37</v>
      </c>
      <c r="F44" s="4" t="s">
        <v>38</v>
      </c>
      <c r="G44" s="4" t="s">
        <v>39</v>
      </c>
      <c r="H44" s="5" t="n">
        <f>46490.0</f>
        <v>46490.0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55</v>
      </c>
      <c r="F45" s="4" t="s">
        <v>56</v>
      </c>
      <c r="G45" s="4" t="s">
        <v>57</v>
      </c>
      <c r="H45" s="5" t="n">
        <f>18660.0</f>
        <v>18660.0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67</v>
      </c>
      <c r="F46" s="4" t="s">
        <v>68</v>
      </c>
      <c r="G46" s="4" t="s">
        <v>69</v>
      </c>
      <c r="H46" s="5" t="n">
        <f>5182.0</f>
        <v>5182.0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16</v>
      </c>
      <c r="F47" s="4" t="s">
        <v>17</v>
      </c>
      <c r="G47" s="4" t="s">
        <v>18</v>
      </c>
      <c r="H47" s="5" t="n">
        <f>134.0</f>
        <v>134.0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61</v>
      </c>
      <c r="F48" s="4" t="s">
        <v>62</v>
      </c>
      <c r="G48" s="4" t="s">
        <v>63</v>
      </c>
      <c r="H48" s="5" t="n">
        <f>54.0</f>
        <v>54.0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13</v>
      </c>
      <c r="F49" s="4" t="s">
        <v>14</v>
      </c>
      <c r="G49" s="4" t="s">
        <v>15</v>
      </c>
      <c r="H49" s="5" t="n">
        <f>42.0</f>
        <v>42.0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9248.0</f>
        <v>9248.0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9133.0</f>
        <v>9133.0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25</v>
      </c>
      <c r="F52" s="4" t="s">
        <v>26</v>
      </c>
      <c r="G52" s="4" t="s">
        <v>27</v>
      </c>
      <c r="H52" s="5" t="n">
        <f>4503.0</f>
        <v>4503.0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52</v>
      </c>
      <c r="F53" s="4" t="s">
        <v>53</v>
      </c>
      <c r="G53" s="4" t="s">
        <v>54</v>
      </c>
      <c r="H53" s="5" t="n">
        <f>3392.0</f>
        <v>3392.0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49</v>
      </c>
      <c r="F54" s="4" t="s">
        <v>50</v>
      </c>
      <c r="G54" s="4" t="s">
        <v>51</v>
      </c>
      <c r="H54" s="5" t="n">
        <f>3353.0</f>
        <v>3353.0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40</v>
      </c>
      <c r="F55" s="4" t="s">
        <v>41</v>
      </c>
      <c r="G55" s="4" t="s">
        <v>42</v>
      </c>
      <c r="H55" s="5" t="n">
        <f>2712.0</f>
        <v>2712.0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22</v>
      </c>
      <c r="F56" s="4" t="s">
        <v>23</v>
      </c>
      <c r="G56" s="4" t="s">
        <v>24</v>
      </c>
      <c r="H56" s="5" t="n">
        <f>2600.0</f>
        <v>2600.0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19</v>
      </c>
      <c r="F57" s="4" t="s">
        <v>20</v>
      </c>
      <c r="G57" s="4" t="s">
        <v>21</v>
      </c>
      <c r="H57" s="5" t="n">
        <f>1671.0</f>
        <v>1671.0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31</v>
      </c>
      <c r="F58" s="4" t="s">
        <v>32</v>
      </c>
      <c r="G58" s="4" t="s">
        <v>33</v>
      </c>
      <c r="H58" s="5" t="n">
        <f>1427.0</f>
        <v>1427.0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61</v>
      </c>
      <c r="F59" s="4" t="s">
        <v>62</v>
      </c>
      <c r="G59" s="4" t="s">
        <v>63</v>
      </c>
      <c r="H59" s="5" t="n">
        <f>1367.0</f>
        <v>1367.0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28</v>
      </c>
      <c r="F60" s="4" t="s">
        <v>29</v>
      </c>
      <c r="G60" s="4" t="s">
        <v>30</v>
      </c>
      <c r="H60" s="5" t="n">
        <f>1264.0</f>
        <v>1264.0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34</v>
      </c>
      <c r="F61" s="4" t="s">
        <v>35</v>
      </c>
      <c r="G61" s="4" t="s">
        <v>36</v>
      </c>
      <c r="H61" s="5" t="n">
        <f>1045.0</f>
        <v>1045.0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64</v>
      </c>
      <c r="F62" s="4" t="s">
        <v>65</v>
      </c>
      <c r="G62" s="4" t="s">
        <v>66</v>
      </c>
      <c r="H62" s="5" t="n">
        <f>644.0</f>
        <v>644.0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37</v>
      </c>
      <c r="F63" s="4" t="s">
        <v>38</v>
      </c>
      <c r="G63" s="4" t="s">
        <v>39</v>
      </c>
      <c r="H63" s="5" t="n">
        <f>244.0</f>
        <v>244.0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43</v>
      </c>
      <c r="F64" s="4" t="s">
        <v>44</v>
      </c>
      <c r="G64" s="4" t="s">
        <v>45</v>
      </c>
      <c r="H64" s="5" t="n">
        <f>173.0</f>
        <v>173.0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67</v>
      </c>
      <c r="F65" s="4" t="s">
        <v>68</v>
      </c>
      <c r="G65" s="4" t="s">
        <v>69</v>
      </c>
      <c r="H65" s="5" t="n">
        <f>36.0</f>
        <v>36.0</v>
      </c>
    </row>
    <row r="66">
      <c r="A66" s="3" t="s">
        <v>85</v>
      </c>
      <c r="B66" s="4" t="s">
        <v>86</v>
      </c>
      <c r="C66" s="4" t="s">
        <v>87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36.0</f>
        <v>36.0</v>
      </c>
    </row>
    <row r="67">
      <c r="A67" s="3" t="s">
        <v>85</v>
      </c>
      <c r="B67" s="4" t="s">
        <v>88</v>
      </c>
      <c r="C67" s="4" t="s">
        <v>89</v>
      </c>
      <c r="D67" s="3" t="n">
        <v>1.0</v>
      </c>
      <c r="E67" s="4" t="s">
        <v>31</v>
      </c>
      <c r="F67" s="4" t="s">
        <v>32</v>
      </c>
      <c r="G67" s="4" t="s">
        <v>33</v>
      </c>
      <c r="H67" s="5" t="n">
        <f>10.0</f>
        <v>10.0</v>
      </c>
    </row>
    <row r="68">
      <c r="A68" s="3" t="s">
        <v>85</v>
      </c>
      <c r="B68" s="4" t="s">
        <v>90</v>
      </c>
      <c r="C68" s="4" t="s">
        <v>91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250.0</f>
        <v>250.0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46</v>
      </c>
      <c r="F69" s="4" t="s">
        <v>47</v>
      </c>
      <c r="G69" s="4" t="s">
        <v>48</v>
      </c>
      <c r="H69" s="5" t="n">
        <f>250.0</f>
        <v>250.0</v>
      </c>
    </row>
    <row r="70">
      <c r="A70" s="3" t="s">
        <v>85</v>
      </c>
      <c r="B70" s="4" t="s">
        <v>90</v>
      </c>
      <c r="C70" s="4" t="s">
        <v>91</v>
      </c>
      <c r="D70" s="3" t="n">
        <v>3.0</v>
      </c>
      <c r="E70" s="4" t="s">
        <v>37</v>
      </c>
      <c r="F70" s="4" t="s">
        <v>38</v>
      </c>
      <c r="G70" s="4" t="s">
        <v>39</v>
      </c>
      <c r="H70" s="5" t="n">
        <f>30.0</f>
        <v>30.0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2.0</f>
        <v>2.0</v>
      </c>
    </row>
    <row r="72">
      <c r="A72" s="3" t="s">
        <v>85</v>
      </c>
      <c r="B72" s="4" t="s">
        <v>94</v>
      </c>
      <c r="C72" s="4" t="s">
        <v>95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6.0</f>
        <v>6.0</v>
      </c>
    </row>
    <row r="73">
      <c r="A73" s="3" t="s">
        <v>85</v>
      </c>
      <c r="B73" s="4" t="s">
        <v>96</v>
      </c>
      <c r="C73" s="4" t="s">
        <v>97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104.0</f>
        <v>104.0</v>
      </c>
    </row>
    <row r="74">
      <c r="A74" s="3" t="s">
        <v>85</v>
      </c>
      <c r="B74" s="4" t="s">
        <v>96</v>
      </c>
      <c r="C74" s="4" t="s">
        <v>97</v>
      </c>
      <c r="D74" s="3" t="n">
        <v>2.0</v>
      </c>
      <c r="E74" s="4" t="s">
        <v>31</v>
      </c>
      <c r="F74" s="4" t="s">
        <v>32</v>
      </c>
      <c r="G74" s="4" t="s">
        <v>33</v>
      </c>
      <c r="H74" s="5" t="n">
        <f>100.0</f>
        <v>100.0</v>
      </c>
    </row>
    <row r="75">
      <c r="A75" s="3" t="s">
        <v>85</v>
      </c>
      <c r="B75" s="4" t="s">
        <v>96</v>
      </c>
      <c r="C75" s="4" t="s">
        <v>97</v>
      </c>
      <c r="D75" s="3" t="n">
        <v>3.0</v>
      </c>
      <c r="E75" s="4" t="s">
        <v>46</v>
      </c>
      <c r="F75" s="4" t="s">
        <v>47</v>
      </c>
      <c r="G75" s="4" t="s">
        <v>48</v>
      </c>
      <c r="H75" s="5" t="n">
        <f>40.0</f>
        <v>40.0</v>
      </c>
    </row>
    <row r="76">
      <c r="A76" s="3" t="s">
        <v>85</v>
      </c>
      <c r="B76" s="4" t="s">
        <v>98</v>
      </c>
      <c r="C76" s="4" t="s">
        <v>99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2.0</f>
        <v>2.0</v>
      </c>
    </row>
    <row r="77">
      <c r="A77" s="3" t="s">
        <v>85</v>
      </c>
      <c r="B77" s="4" t="s">
        <v>100</v>
      </c>
      <c r="C77" s="4" t="s">
        <v>101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200.0</f>
        <v>200.0</v>
      </c>
    </row>
    <row r="78">
      <c r="A78" s="3" t="s">
        <v>85</v>
      </c>
      <c r="B78" s="4" t="s">
        <v>100</v>
      </c>
      <c r="C78" s="4" t="s">
        <v>101</v>
      </c>
      <c r="D78" s="3" t="n">
        <v>1.0</v>
      </c>
      <c r="E78" s="4" t="s">
        <v>46</v>
      </c>
      <c r="F78" s="4" t="s">
        <v>47</v>
      </c>
      <c r="G78" s="4" t="s">
        <v>48</v>
      </c>
      <c r="H78" s="5" t="n">
        <f>200.0</f>
        <v>200.0</v>
      </c>
    </row>
    <row r="79">
      <c r="A79" s="3" t="s">
        <v>85</v>
      </c>
      <c r="B79" s="4" t="s">
        <v>100</v>
      </c>
      <c r="C79" s="4" t="s">
        <v>101</v>
      </c>
      <c r="D79" s="3" t="n">
        <v>3.0</v>
      </c>
      <c r="E79" s="4" t="s">
        <v>37</v>
      </c>
      <c r="F79" s="4" t="s">
        <v>38</v>
      </c>
      <c r="G79" s="4" t="s">
        <v>39</v>
      </c>
      <c r="H79" s="5" t="n">
        <f>88.0</f>
        <v>88.0</v>
      </c>
    </row>
    <row r="80">
      <c r="A80" s="3" t="s">
        <v>85</v>
      </c>
      <c r="B80" s="4" t="s">
        <v>102</v>
      </c>
      <c r="C80" s="4" t="s">
        <v>103</v>
      </c>
      <c r="D80" s="3" t="n">
        <v>1.0</v>
      </c>
      <c r="E80" s="4" t="s">
        <v>37</v>
      </c>
      <c r="F80" s="4" t="s">
        <v>38</v>
      </c>
      <c r="G80" s="4" t="s">
        <v>39</v>
      </c>
      <c r="H80" s="5" t="n">
        <f>4.0</f>
        <v>4.0</v>
      </c>
    </row>
    <row r="81">
      <c r="A81" s="3" t="s">
        <v>85</v>
      </c>
      <c r="B81" s="4" t="s">
        <v>104</v>
      </c>
      <c r="C81" s="4" t="s">
        <v>105</v>
      </c>
      <c r="D81" s="3" t="n">
        <v>1.0</v>
      </c>
      <c r="E81" s="4" t="s">
        <v>46</v>
      </c>
      <c r="F81" s="4" t="s">
        <v>47</v>
      </c>
      <c r="G81" s="4" t="s">
        <v>48</v>
      </c>
      <c r="H81" s="5" t="n">
        <f>200.0</f>
        <v>200.0</v>
      </c>
    </row>
    <row r="82">
      <c r="A82" s="3" t="s">
        <v>85</v>
      </c>
      <c r="B82" s="4" t="s">
        <v>104</v>
      </c>
      <c r="C82" s="4" t="s">
        <v>105</v>
      </c>
      <c r="D82" s="3" t="n">
        <v>2.0</v>
      </c>
      <c r="E82" s="4" t="s">
        <v>37</v>
      </c>
      <c r="F82" s="4" t="s">
        <v>38</v>
      </c>
      <c r="G82" s="4" t="s">
        <v>39</v>
      </c>
      <c r="H82" s="5" t="n">
        <f>4.0</f>
        <v>4.0</v>
      </c>
    </row>
    <row r="83">
      <c r="A83" s="3" t="s">
        <v>85</v>
      </c>
      <c r="B83" s="4" t="s">
        <v>106</v>
      </c>
      <c r="C83" s="4" t="s">
        <v>107</v>
      </c>
      <c r="D83" s="3" t="n">
        <v>1.0</v>
      </c>
      <c r="E83" s="4" t="s">
        <v>37</v>
      </c>
      <c r="F83" s="4" t="s">
        <v>38</v>
      </c>
      <c r="G83" s="4" t="s">
        <v>39</v>
      </c>
      <c r="H83" s="5" t="n">
        <f>28.0</f>
        <v>28.0</v>
      </c>
    </row>
    <row r="84">
      <c r="A84" s="3" t="s">
        <v>85</v>
      </c>
      <c r="B84" s="4" t="s">
        <v>108</v>
      </c>
      <c r="C84" s="4" t="s">
        <v>109</v>
      </c>
      <c r="D84" s="3" t="n">
        <v>1.0</v>
      </c>
      <c r="E84" s="4" t="s">
        <v>37</v>
      </c>
      <c r="F84" s="4" t="s">
        <v>38</v>
      </c>
      <c r="G84" s="4" t="s">
        <v>39</v>
      </c>
      <c r="H84" s="5" t="n">
        <f>12.0</f>
        <v>12.0</v>
      </c>
    </row>
    <row r="85">
      <c r="A85" s="3" t="s">
        <v>85</v>
      </c>
      <c r="B85" s="4" t="s">
        <v>110</v>
      </c>
      <c r="C85" s="4" t="s">
        <v>111</v>
      </c>
      <c r="D85" s="3" t="n">
        <v>1.0</v>
      </c>
      <c r="E85" s="4" t="s">
        <v>31</v>
      </c>
      <c r="F85" s="4" t="s">
        <v>32</v>
      </c>
      <c r="G85" s="4" t="s">
        <v>33</v>
      </c>
      <c r="H85" s="5" t="n">
        <f>300.0</f>
        <v>300.0</v>
      </c>
    </row>
    <row r="86">
      <c r="A86" s="3" t="s">
        <v>85</v>
      </c>
      <c r="B86" s="4" t="s">
        <v>110</v>
      </c>
      <c r="C86" s="4" t="s">
        <v>111</v>
      </c>
      <c r="D86" s="3" t="n">
        <v>2.0</v>
      </c>
      <c r="E86" s="4" t="s">
        <v>61</v>
      </c>
      <c r="F86" s="4" t="s">
        <v>62</v>
      </c>
      <c r="G86" s="4" t="s">
        <v>63</v>
      </c>
      <c r="H86" s="5" t="n">
        <f>200.0</f>
        <v>200.0</v>
      </c>
    </row>
    <row r="87">
      <c r="A87" s="3" t="s">
        <v>85</v>
      </c>
      <c r="B87" s="4" t="s">
        <v>110</v>
      </c>
      <c r="C87" s="4" t="s">
        <v>111</v>
      </c>
      <c r="D87" s="3" t="n">
        <v>3.0</v>
      </c>
      <c r="E87" s="4" t="s">
        <v>46</v>
      </c>
      <c r="F87" s="4" t="s">
        <v>47</v>
      </c>
      <c r="G87" s="4" t="s">
        <v>48</v>
      </c>
      <c r="H87" s="5" t="n">
        <f>140.0</f>
        <v>140.0</v>
      </c>
    </row>
    <row r="88">
      <c r="A88" s="3" t="s">
        <v>85</v>
      </c>
      <c r="B88" s="4" t="s">
        <v>110</v>
      </c>
      <c r="C88" s="4" t="s">
        <v>111</v>
      </c>
      <c r="D88" s="3" t="n">
        <v>4.0</v>
      </c>
      <c r="E88" s="4" t="s">
        <v>64</v>
      </c>
      <c r="F88" s="4" t="s">
        <v>65</v>
      </c>
      <c r="G88" s="4" t="s">
        <v>66</v>
      </c>
      <c r="H88" s="5" t="n">
        <f>100.0</f>
        <v>100.0</v>
      </c>
    </row>
    <row r="89">
      <c r="A89" s="3" t="s">
        <v>85</v>
      </c>
      <c r="B89" s="4" t="s">
        <v>110</v>
      </c>
      <c r="C89" s="4" t="s">
        <v>111</v>
      </c>
      <c r="D89" s="3" t="n">
        <v>5.0</v>
      </c>
      <c r="E89" s="4" t="s">
        <v>37</v>
      </c>
      <c r="F89" s="4" t="s">
        <v>38</v>
      </c>
      <c r="G89" s="4" t="s">
        <v>39</v>
      </c>
      <c r="H8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