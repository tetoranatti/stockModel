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<sst xmlns="http://schemas.openxmlformats.org/spreadsheetml/2006/main" count="442" uniqueCount="102">
  <si>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</si>
  <si>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</si>
  <si>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</si>
  <si>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</si>
  <si>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</si>
  <si>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</si>
  <si>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</si>
  <si>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</si>
  <si>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</si>
  <si>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20250924</t>
  </si>
  <si>
    <t>NK225F</t>
  </si>
  <si>
    <t>160120018</t>
  </si>
  <si>
    <t>NIKKEI 225 FUT 2512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</si>
  <si>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</si>
  <si>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</si>
  <si>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</si>
  <si>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</si>
  <si>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</si>
  <si>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</si>
  <si>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</si>
  <si>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</si>
  <si>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</si>
  <si>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</si>
  <si>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</si>
  <si>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</si>
  <si>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</si>
  <si>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</si>
  <si>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</si>
  <si>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</si>
  <si>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</si>
  <si>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</si>
  <si>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</si>
  <si>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</si>
  <si>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</si>
  <si>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</si>
  <si>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</si>
  <si>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</si>
  <si>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</si>
  <si>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</si>
  <si>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</si>
  <si>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</si>
  <si>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</si>
  <si>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</si>
  <si>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</si>
  <si>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</si>
  <si>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</si>
  <si>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11696</t>
  </si>
  <si>
    <t>みずほ証券</t>
  </si>
  <si>
    <t>Mizuho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</si>
  <si>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</si>
  <si>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</si>
  <si>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</si>
  <si>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</si>
  <si>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</si>
  <si>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</si>
  <si>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</si>
  <si>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</si>
  <si>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</si>
  <si>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</si>
  <si>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</si>
  <si>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</si>
  <si>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</si>
  <si>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</si>
  <si>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</si>
  <si>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</si>
  <si>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</si>
  <si>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</si>
  <si>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161030018</t>
  </si>
  <si>
    <t>NIKKEI 225 FUT 2603</t>
  </si>
  <si>
    <t>12176</t>
  </si>
  <si>
    <t>ドイツ証券</t>
  </si>
  <si>
    <t>Deutsche Securities</t>
  </si>
  <si>
    <t>NK225MF</t>
  </si>
  <si>
    <t>160100019</t>
  </si>
  <si>
    <t>MINI NK225 FUT 2510</t>
  </si>
  <si>
    <t>12336</t>
  </si>
  <si>
    <t>日産証券</t>
  </si>
  <si>
    <t>Nissan Securities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</si>
  <si>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</si>
  <si>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</si>
  <si>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</si>
  <si>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</si>
  <si>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</si>
  <si>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</si>
  <si>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</si>
  <si>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</si>
  <si>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180104718</t>
  </si>
  <si>
    <t>NIKKEI 225 OOP P2510-44750</t>
  </si>
  <si>
    <t>130225018</t>
  </si>
  <si>
    <t>NIKKEI 225 OOP P2510-45000</t>
  </si>
  <si>
    <t>180105218</t>
  </si>
  <si>
    <t>NIKKEI 225 OOP P2510-45250</t>
  </si>
  <si>
    <t>180105518</t>
  </si>
  <si>
    <t>NIKKEI 225 OOP P2510-45500</t>
  </si>
  <si>
    <t>190106518</t>
  </si>
  <si>
    <t>NIKKEI 225 OOP C2510-46500</t>
  </si>
  <si>
    <t>140226018</t>
  </si>
  <si>
    <t>NIKKEI 225 OOP C2510-46000</t>
  </si>
  <si>
    <t>190105718</t>
  </si>
  <si>
    <t>NIKKEI 225 OOP C2510-45750</t>
  </si>
  <si>
    <t>190105518</t>
  </si>
  <si>
    <t>NIKKEI 225 OOP C2510-45500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</si>
</sst>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1996.0</f>
        <v>1996.0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1547.0</f>
        <v>1547.0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1103.0</f>
        <v>1103.0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997.0</f>
        <v>997.0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760.0</f>
        <v>760.0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718.0</f>
        <v>718.0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662.0</f>
        <v>662.0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530.0</f>
        <v>530.0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415.0</f>
        <v>415.0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296.0</f>
        <v>296.0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288.0</f>
        <v>288.0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249.0</f>
        <v>249.0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220.0</f>
        <v>220.0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125.0</f>
        <v>125.0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87.0</f>
        <v>87.0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45.0</f>
        <v>45.0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42.0</f>
        <v>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26.0</f>
        <v>26.0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69</v>
      </c>
      <c r="F27" s="4" t="s">
        <v>70</v>
      </c>
      <c r="G27" s="4" t="s">
        <v>71</v>
      </c>
      <c r="H27" s="5" t="n">
        <f>500.0</f>
        <v>500.0</v>
      </c>
    </row>
    <row r="28">
      <c r="A28" s="3" t="s">
        <v>10</v>
      </c>
      <c r="B28" s="4" t="s">
        <v>67</v>
      </c>
      <c r="C28" s="4" t="s">
        <v>68</v>
      </c>
      <c r="D28" s="3" t="n">
        <v>1.0</v>
      </c>
      <c r="E28" s="4" t="s">
        <v>31</v>
      </c>
      <c r="F28" s="4" t="s">
        <v>32</v>
      </c>
      <c r="G28" s="4" t="s">
        <v>33</v>
      </c>
      <c r="H28" s="5" t="n">
        <f>500.0</f>
        <v>500.0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28</v>
      </c>
      <c r="F29" s="4" t="s">
        <v>29</v>
      </c>
      <c r="G29" s="4" t="s">
        <v>30</v>
      </c>
      <c r="H29" s="5" t="n">
        <f>200.0</f>
        <v>200.0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49</v>
      </c>
      <c r="F30" s="4" t="s">
        <v>50</v>
      </c>
      <c r="G30" s="4" t="s">
        <v>51</v>
      </c>
      <c r="H30" s="5" t="n">
        <f>2.0</f>
        <v>2.0</v>
      </c>
    </row>
    <row r="31">
      <c r="A31" s="3" t="s">
        <v>72</v>
      </c>
      <c r="B31" s="4" t="s">
        <v>73</v>
      </c>
      <c r="C31" s="4" t="s">
        <v>74</v>
      </c>
      <c r="D31" s="3" t="n">
        <v>1.0</v>
      </c>
      <c r="E31" s="4" t="s">
        <v>25</v>
      </c>
      <c r="F31" s="4" t="s">
        <v>26</v>
      </c>
      <c r="G31" s="4" t="s">
        <v>27</v>
      </c>
      <c r="H31" s="5" t="n">
        <f>2852.0</f>
        <v>2852.0</v>
      </c>
    </row>
    <row r="32">
      <c r="A32" s="3" t="s">
        <v>72</v>
      </c>
      <c r="B32" s="4" t="s">
        <v>73</v>
      </c>
      <c r="C32" s="4" t="s">
        <v>74</v>
      </c>
      <c r="D32" s="3" t="n">
        <v>2.0</v>
      </c>
      <c r="E32" s="4" t="s">
        <v>28</v>
      </c>
      <c r="F32" s="4" t="s">
        <v>29</v>
      </c>
      <c r="G32" s="4" t="s">
        <v>30</v>
      </c>
      <c r="H32" s="5" t="n">
        <f>1500.0</f>
        <v>1500.0</v>
      </c>
    </row>
    <row r="33">
      <c r="A33" s="3" t="s">
        <v>72</v>
      </c>
      <c r="B33" s="4" t="s">
        <v>73</v>
      </c>
      <c r="C33" s="4" t="s">
        <v>74</v>
      </c>
      <c r="D33" s="3" t="n">
        <v>3.0</v>
      </c>
      <c r="E33" s="4" t="s">
        <v>49</v>
      </c>
      <c r="F33" s="4" t="s">
        <v>50</v>
      </c>
      <c r="G33" s="4" t="s">
        <v>51</v>
      </c>
      <c r="H33" s="5" t="n">
        <f>1288.0</f>
        <v>1288.0</v>
      </c>
    </row>
    <row r="34">
      <c r="A34" s="3" t="s">
        <v>72</v>
      </c>
      <c r="B34" s="4" t="s">
        <v>73</v>
      </c>
      <c r="C34" s="4" t="s">
        <v>74</v>
      </c>
      <c r="D34" s="3" t="n">
        <v>4.0</v>
      </c>
      <c r="E34" s="4" t="s">
        <v>37</v>
      </c>
      <c r="F34" s="4" t="s">
        <v>38</v>
      </c>
      <c r="G34" s="4" t="s">
        <v>39</v>
      </c>
      <c r="H34" s="5" t="n">
        <f>1000.0</f>
        <v>1000.0</v>
      </c>
    </row>
    <row r="35">
      <c r="A35" s="3" t="s">
        <v>72</v>
      </c>
      <c r="B35" s="4" t="s">
        <v>73</v>
      </c>
      <c r="C35" s="4" t="s">
        <v>74</v>
      </c>
      <c r="D35" s="3" t="n">
        <v>5.0</v>
      </c>
      <c r="E35" s="4" t="s">
        <v>19</v>
      </c>
      <c r="F35" s="4" t="s">
        <v>20</v>
      </c>
      <c r="G35" s="4" t="s">
        <v>21</v>
      </c>
      <c r="H35" s="5" t="n">
        <f>500.0</f>
        <v>500.0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61</v>
      </c>
      <c r="F36" s="4" t="s">
        <v>62</v>
      </c>
      <c r="G36" s="4" t="s">
        <v>63</v>
      </c>
      <c r="H36" s="5" t="n">
        <f>56.0</f>
        <v>56.0</v>
      </c>
    </row>
    <row r="37">
      <c r="A37" s="3" t="s">
        <v>72</v>
      </c>
      <c r="B37" s="4" t="s">
        <v>73</v>
      </c>
      <c r="C37" s="4" t="s">
        <v>74</v>
      </c>
      <c r="D37" s="3" t="n">
        <v>7.0</v>
      </c>
      <c r="E37" s="4" t="s">
        <v>75</v>
      </c>
      <c r="F37" s="4" t="s">
        <v>76</v>
      </c>
      <c r="G37" s="4" t="s">
        <v>77</v>
      </c>
      <c r="H37" s="5" t="n">
        <f>20.0</f>
        <v>20.0</v>
      </c>
    </row>
    <row r="38">
      <c r="A38" s="3" t="s">
        <v>72</v>
      </c>
      <c r="B38" s="4" t="s">
        <v>73</v>
      </c>
      <c r="C38" s="4" t="s">
        <v>74</v>
      </c>
      <c r="D38" s="3" t="n">
        <v>7.0</v>
      </c>
      <c r="E38" s="4" t="s">
        <v>58</v>
      </c>
      <c r="F38" s="4" t="s">
        <v>59</v>
      </c>
      <c r="G38" s="4" t="s">
        <v>60</v>
      </c>
      <c r="H38" s="5" t="n">
        <f>20.0</f>
        <v>20.0</v>
      </c>
    </row>
    <row r="39">
      <c r="A39" s="3" t="s">
        <v>72</v>
      </c>
      <c r="B39" s="4" t="s">
        <v>78</v>
      </c>
      <c r="C39" s="4" t="s">
        <v>79</v>
      </c>
      <c r="D39" s="3" t="n">
        <v>1.0</v>
      </c>
      <c r="E39" s="4" t="s">
        <v>25</v>
      </c>
      <c r="F39" s="4" t="s">
        <v>26</v>
      </c>
      <c r="G39" s="4" t="s">
        <v>27</v>
      </c>
      <c r="H39" s="5" t="n">
        <f>74.0</f>
        <v>74.0</v>
      </c>
    </row>
    <row r="40">
      <c r="A40" s="3" t="s">
        <v>72</v>
      </c>
      <c r="B40" s="4" t="s">
        <v>78</v>
      </c>
      <c r="C40" s="4" t="s">
        <v>79</v>
      </c>
      <c r="D40" s="3" t="n">
        <v>2.0</v>
      </c>
      <c r="E40" s="4" t="s">
        <v>49</v>
      </c>
      <c r="F40" s="4" t="s">
        <v>50</v>
      </c>
      <c r="G40" s="4" t="s">
        <v>51</v>
      </c>
      <c r="H40" s="5" t="n">
        <f>16.0</f>
        <v>16.0</v>
      </c>
    </row>
    <row r="41">
      <c r="A41" s="3" t="s">
        <v>72</v>
      </c>
      <c r="B41" s="4" t="s">
        <v>78</v>
      </c>
      <c r="C41" s="4" t="s">
        <v>79</v>
      </c>
      <c r="D41" s="3" t="n">
        <v>3.0</v>
      </c>
      <c r="E41" s="4" t="s">
        <v>75</v>
      </c>
      <c r="F41" s="4" t="s">
        <v>76</v>
      </c>
      <c r="G41" s="4" t="s">
        <v>77</v>
      </c>
      <c r="H41" s="5" t="n">
        <f>15.0</f>
        <v>15.0</v>
      </c>
    </row>
    <row r="42">
      <c r="A42" s="3" t="s">
        <v>72</v>
      </c>
      <c r="B42" s="4" t="s">
        <v>78</v>
      </c>
      <c r="C42" s="4" t="s">
        <v>79</v>
      </c>
      <c r="D42" s="3" t="n">
        <v>3.0</v>
      </c>
      <c r="E42" s="4" t="s">
        <v>58</v>
      </c>
      <c r="F42" s="4" t="s">
        <v>59</v>
      </c>
      <c r="G42" s="4" t="s">
        <v>60</v>
      </c>
      <c r="H42" s="5" t="n">
        <f>15.0</f>
        <v>15.0</v>
      </c>
    </row>
    <row r="43">
      <c r="A43" s="3" t="s">
        <v>72</v>
      </c>
      <c r="B43" s="4" t="s">
        <v>80</v>
      </c>
      <c r="C43" s="4" t="s">
        <v>81</v>
      </c>
      <c r="D43" s="3" t="n">
        <v>1.0</v>
      </c>
      <c r="E43" s="4" t="s">
        <v>25</v>
      </c>
      <c r="F43" s="4" t="s">
        <v>26</v>
      </c>
      <c r="G43" s="4" t="s">
        <v>27</v>
      </c>
      <c r="H43" s="5" t="n">
        <f>43552.0</f>
        <v>43552.0</v>
      </c>
    </row>
    <row r="44">
      <c r="A44" s="3" t="s">
        <v>72</v>
      </c>
      <c r="B44" s="4" t="s">
        <v>80</v>
      </c>
      <c r="C44" s="4" t="s">
        <v>81</v>
      </c>
      <c r="D44" s="3" t="n">
        <v>2.0</v>
      </c>
      <c r="E44" s="4" t="s">
        <v>49</v>
      </c>
      <c r="F44" s="4" t="s">
        <v>50</v>
      </c>
      <c r="G44" s="4" t="s">
        <v>51</v>
      </c>
      <c r="H44" s="5" t="n">
        <f>22398.0</f>
        <v>22398.0</v>
      </c>
    </row>
    <row r="45">
      <c r="A45" s="3" t="s">
        <v>72</v>
      </c>
      <c r="B45" s="4" t="s">
        <v>80</v>
      </c>
      <c r="C45" s="4" t="s">
        <v>81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4976.0</f>
        <v>4976.0</v>
      </c>
    </row>
    <row r="46">
      <c r="A46" s="3" t="s">
        <v>72</v>
      </c>
      <c r="B46" s="4" t="s">
        <v>80</v>
      </c>
      <c r="C46" s="4" t="s">
        <v>81</v>
      </c>
      <c r="D46" s="3" t="n">
        <v>4.0</v>
      </c>
      <c r="E46" s="4" t="s">
        <v>75</v>
      </c>
      <c r="F46" s="4" t="s">
        <v>76</v>
      </c>
      <c r="G46" s="4" t="s">
        <v>77</v>
      </c>
      <c r="H46" s="5" t="n">
        <f>164.0</f>
        <v>164.0</v>
      </c>
    </row>
    <row r="47">
      <c r="A47" s="3" t="s">
        <v>72</v>
      </c>
      <c r="B47" s="4" t="s">
        <v>80</v>
      </c>
      <c r="C47" s="4" t="s">
        <v>81</v>
      </c>
      <c r="D47" s="3" t="n">
        <v>4.0</v>
      </c>
      <c r="E47" s="4" t="s">
        <v>58</v>
      </c>
      <c r="F47" s="4" t="s">
        <v>59</v>
      </c>
      <c r="G47" s="4" t="s">
        <v>60</v>
      </c>
      <c r="H47" s="5" t="n">
        <f>164.0</f>
        <v>164.0</v>
      </c>
    </row>
    <row r="48">
      <c r="A48" s="3" t="s">
        <v>72</v>
      </c>
      <c r="B48" s="4" t="s">
        <v>80</v>
      </c>
      <c r="C48" s="4" t="s">
        <v>81</v>
      </c>
      <c r="D48" s="3" t="n">
        <v>6.0</v>
      </c>
      <c r="E48" s="4" t="s">
        <v>34</v>
      </c>
      <c r="F48" s="4" t="s">
        <v>35</v>
      </c>
      <c r="G48" s="4" t="s">
        <v>36</v>
      </c>
      <c r="H48" s="5" t="n">
        <f>10.0</f>
        <v>10.0</v>
      </c>
    </row>
    <row r="49">
      <c r="A49" s="3" t="s">
        <v>72</v>
      </c>
      <c r="B49" s="4" t="s">
        <v>80</v>
      </c>
      <c r="C49" s="4" t="s">
        <v>81</v>
      </c>
      <c r="D49" s="3" t="n">
        <v>7.0</v>
      </c>
      <c r="E49" s="4" t="s">
        <v>16</v>
      </c>
      <c r="F49" s="4" t="s">
        <v>17</v>
      </c>
      <c r="G49" s="4" t="s">
        <v>18</v>
      </c>
      <c r="H49" s="5" t="n">
        <f>4.0</f>
        <v>4.0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52</v>
      </c>
      <c r="F50" s="4" t="s">
        <v>53</v>
      </c>
      <c r="G50" s="4" t="s">
        <v>54</v>
      </c>
      <c r="H50" s="5" t="n">
        <f>4321.0</f>
        <v>4321.0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43</v>
      </c>
      <c r="F51" s="4" t="s">
        <v>44</v>
      </c>
      <c r="G51" s="4" t="s">
        <v>45</v>
      </c>
      <c r="H51" s="5" t="n">
        <f>3903.0</f>
        <v>3903.0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13</v>
      </c>
      <c r="F52" s="4" t="s">
        <v>14</v>
      </c>
      <c r="G52" s="4" t="s">
        <v>15</v>
      </c>
      <c r="H52" s="5" t="n">
        <f>3517.0</f>
        <v>3517.0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64</v>
      </c>
      <c r="F53" s="4" t="s">
        <v>65</v>
      </c>
      <c r="G53" s="4" t="s">
        <v>66</v>
      </c>
      <c r="H53" s="5" t="n">
        <f>2990.0</f>
        <v>2990.0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22</v>
      </c>
      <c r="F54" s="4" t="s">
        <v>23</v>
      </c>
      <c r="G54" s="4" t="s">
        <v>24</v>
      </c>
      <c r="H54" s="5" t="n">
        <f>1499.0</f>
        <v>1499.0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25</v>
      </c>
      <c r="F55" s="4" t="s">
        <v>26</v>
      </c>
      <c r="G55" s="4" t="s">
        <v>27</v>
      </c>
      <c r="H55" s="5" t="n">
        <f>1474.0</f>
        <v>1474.0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34</v>
      </c>
      <c r="F56" s="4" t="s">
        <v>35</v>
      </c>
      <c r="G56" s="4" t="s">
        <v>36</v>
      </c>
      <c r="H56" s="5" t="n">
        <f>1087.0</f>
        <v>1087.0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16</v>
      </c>
      <c r="F57" s="4" t="s">
        <v>17</v>
      </c>
      <c r="G57" s="4" t="s">
        <v>18</v>
      </c>
      <c r="H57" s="5" t="n">
        <f>789.0</f>
        <v>789.0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55</v>
      </c>
      <c r="F58" s="4" t="s">
        <v>56</v>
      </c>
      <c r="G58" s="4" t="s">
        <v>57</v>
      </c>
      <c r="H58" s="5" t="n">
        <f>665.0</f>
        <v>665.0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19</v>
      </c>
      <c r="F59" s="4" t="s">
        <v>20</v>
      </c>
      <c r="G59" s="4" t="s">
        <v>21</v>
      </c>
      <c r="H59" s="5" t="n">
        <f>550.0</f>
        <v>550.0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28</v>
      </c>
      <c r="F60" s="4" t="s">
        <v>29</v>
      </c>
      <c r="G60" s="4" t="s">
        <v>30</v>
      </c>
      <c r="H60" s="5" t="n">
        <f>411.0</f>
        <v>411.0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37</v>
      </c>
      <c r="F61" s="4" t="s">
        <v>38</v>
      </c>
      <c r="G61" s="4" t="s">
        <v>39</v>
      </c>
      <c r="H61" s="5" t="n">
        <f>371.0</f>
        <v>371.0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40</v>
      </c>
      <c r="F62" s="4" t="s">
        <v>41</v>
      </c>
      <c r="G62" s="4" t="s">
        <v>42</v>
      </c>
      <c r="H62" s="5" t="n">
        <f>265.0</f>
        <v>265.0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31</v>
      </c>
      <c r="F63" s="4" t="s">
        <v>32</v>
      </c>
      <c r="G63" s="4" t="s">
        <v>33</v>
      </c>
      <c r="H63" s="5" t="n">
        <f>232.0</f>
        <v>232.0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61</v>
      </c>
      <c r="F64" s="4" t="s">
        <v>62</v>
      </c>
      <c r="G64" s="4" t="s">
        <v>63</v>
      </c>
      <c r="H64" s="5" t="n">
        <f>12.0</f>
        <v>12.0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58</v>
      </c>
      <c r="F65" s="4" t="s">
        <v>59</v>
      </c>
      <c r="G65" s="4" t="s">
        <v>60</v>
      </c>
      <c r="H65" s="5" t="n">
        <f>7.0</f>
        <v>7.0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75</v>
      </c>
      <c r="F66" s="4" t="s">
        <v>76</v>
      </c>
      <c r="G66" s="4" t="s">
        <v>77</v>
      </c>
      <c r="H66" s="5" t="n">
        <f>1.0</f>
        <v>1.0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2.0</f>
        <v>2.0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200.0</f>
        <v>200.0</v>
      </c>
    </row>
    <row r="69">
      <c r="A69" s="3" t="s">
        <v>85</v>
      </c>
      <c r="B69" s="4" t="s">
        <v>88</v>
      </c>
      <c r="C69" s="4" t="s">
        <v>89</v>
      </c>
      <c r="D69" s="3" t="n">
        <v>2.0</v>
      </c>
      <c r="E69" s="4" t="s">
        <v>25</v>
      </c>
      <c r="F69" s="4" t="s">
        <v>26</v>
      </c>
      <c r="G69" s="4" t="s">
        <v>27</v>
      </c>
      <c r="H69" s="5" t="n">
        <f>104.0</f>
        <v>104.0</v>
      </c>
    </row>
    <row r="70">
      <c r="A70" s="3" t="s">
        <v>85</v>
      </c>
      <c r="B70" s="4" t="s">
        <v>88</v>
      </c>
      <c r="C70" s="4" t="s">
        <v>89</v>
      </c>
      <c r="D70" s="3" t="n">
        <v>3.0</v>
      </c>
      <c r="E70" s="4" t="s">
        <v>58</v>
      </c>
      <c r="F70" s="4" t="s">
        <v>59</v>
      </c>
      <c r="G70" s="4" t="s">
        <v>60</v>
      </c>
      <c r="H70" s="5" t="n">
        <f>100.0</f>
        <v>100.0</v>
      </c>
    </row>
    <row r="71">
      <c r="A71" s="3" t="s">
        <v>85</v>
      </c>
      <c r="B71" s="4" t="s">
        <v>88</v>
      </c>
      <c r="C71" s="4" t="s">
        <v>89</v>
      </c>
      <c r="D71" s="3" t="n">
        <v>4.0</v>
      </c>
      <c r="E71" s="4" t="s">
        <v>13</v>
      </c>
      <c r="F71" s="4" t="s">
        <v>14</v>
      </c>
      <c r="G71" s="4" t="s">
        <v>15</v>
      </c>
      <c r="H71" s="5" t="n">
        <f>40.0</f>
        <v>40.0</v>
      </c>
    </row>
    <row r="72">
      <c r="A72" s="3" t="s">
        <v>85</v>
      </c>
      <c r="B72" s="4" t="s">
        <v>90</v>
      </c>
      <c r="C72" s="4" t="s">
        <v>91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4.0</f>
        <v>4.0</v>
      </c>
    </row>
    <row r="73">
      <c r="A73" s="3" t="s">
        <v>85</v>
      </c>
      <c r="B73" s="4" t="s">
        <v>92</v>
      </c>
      <c r="C73" s="4" t="s">
        <v>93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4.0</f>
        <v>4.0</v>
      </c>
    </row>
    <row r="74">
      <c r="A74" s="3" t="s">
        <v>85</v>
      </c>
      <c r="B74" s="4" t="s">
        <v>94</v>
      </c>
      <c r="C74" s="4" t="s">
        <v>95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36.0</f>
        <v>36.0</v>
      </c>
    </row>
    <row r="75">
      <c r="A75" s="3" t="s">
        <v>85</v>
      </c>
      <c r="B75" s="4" t="s">
        <v>96</v>
      </c>
      <c r="C75" s="4" t="s">
        <v>97</v>
      </c>
      <c r="D75" s="3" t="n">
        <v>1.0</v>
      </c>
      <c r="E75" s="4" t="s">
        <v>28</v>
      </c>
      <c r="F75" s="4" t="s">
        <v>29</v>
      </c>
      <c r="G75" s="4" t="s">
        <v>30</v>
      </c>
      <c r="H75" s="5" t="n">
        <f>100.0</f>
        <v>100.0</v>
      </c>
    </row>
    <row r="76">
      <c r="A76" s="3" t="s">
        <v>85</v>
      </c>
      <c r="B76" s="4" t="s">
        <v>96</v>
      </c>
      <c r="C76" s="4" t="s">
        <v>97</v>
      </c>
      <c r="D76" s="3" t="n">
        <v>2.0</v>
      </c>
      <c r="E76" s="4" t="s">
        <v>37</v>
      </c>
      <c r="F76" s="4" t="s">
        <v>38</v>
      </c>
      <c r="G76" s="4" t="s">
        <v>39</v>
      </c>
      <c r="H76" s="5" t="n">
        <f>70.0</f>
        <v>70.0</v>
      </c>
    </row>
    <row r="77">
      <c r="A77" s="3" t="s">
        <v>85</v>
      </c>
      <c r="B77" s="4" t="s">
        <v>96</v>
      </c>
      <c r="C77" s="4" t="s">
        <v>97</v>
      </c>
      <c r="D77" s="3" t="n">
        <v>3.0</v>
      </c>
      <c r="E77" s="4" t="s">
        <v>58</v>
      </c>
      <c r="F77" s="4" t="s">
        <v>59</v>
      </c>
      <c r="G77" s="4" t="s">
        <v>60</v>
      </c>
      <c r="H77" s="5" t="n">
        <f>50.0</f>
        <v>50.0</v>
      </c>
    </row>
    <row r="78">
      <c r="A78" s="3" t="s">
        <v>85</v>
      </c>
      <c r="B78" s="4" t="s">
        <v>96</v>
      </c>
      <c r="C78" s="4" t="s">
        <v>97</v>
      </c>
      <c r="D78" s="3" t="n">
        <v>4.0</v>
      </c>
      <c r="E78" s="4" t="s">
        <v>25</v>
      </c>
      <c r="F78" s="4" t="s">
        <v>26</v>
      </c>
      <c r="G78" s="4" t="s">
        <v>27</v>
      </c>
      <c r="H78" s="5" t="n">
        <f>26.0</f>
        <v>26.0</v>
      </c>
    </row>
    <row r="79">
      <c r="A79" s="3" t="s">
        <v>85</v>
      </c>
      <c r="B79" s="4" t="s">
        <v>98</v>
      </c>
      <c r="C79" s="4" t="s">
        <v>99</v>
      </c>
      <c r="D79" s="3" t="n">
        <v>1.0</v>
      </c>
      <c r="E79" s="4" t="s">
        <v>25</v>
      </c>
      <c r="F79" s="4" t="s">
        <v>26</v>
      </c>
      <c r="G79" s="4" t="s">
        <v>27</v>
      </c>
      <c r="H79" s="5" t="n">
        <f>4.0</f>
        <v>4.0</v>
      </c>
    </row>
    <row r="80">
      <c r="A80" s="3" t="s">
        <v>85</v>
      </c>
      <c r="B80" s="4" t="s">
        <v>100</v>
      </c>
      <c r="C80" s="4" t="s">
        <v>101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