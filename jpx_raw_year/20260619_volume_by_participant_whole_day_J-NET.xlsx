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<sst xmlns="http://schemas.openxmlformats.org/spreadsheetml/2006/main" count="418" uniqueCount="94">
  <si>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</si>
  <si>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</si>
  <si>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</si>
  <si>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</si>
  <si>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</si>
  <si>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</si>
  <si>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</si>
  <si>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</si>
  <si>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</si>
  <si>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20260619</t>
  </si>
  <si>
    <t>NK225F</t>
  </si>
  <si>
    <t>161090018</t>
  </si>
  <si>
    <t>NIKKEI 225 FUT 2609</t>
  </si>
  <si>
    <t>11560</t>
  </si>
  <si>
    <t>ゴールドマン証券</t>
  </si>
  <si>
    <t>Goldman Sachs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</si>
  <si>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</si>
  <si>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</si>
  <si>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</si>
  <si>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</si>
  <si>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</si>
  <si>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</si>
  <si>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</si>
  <si>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</si>
  <si>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</si>
  <si>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</si>
  <si>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</si>
  <si>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</si>
  <si>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</si>
  <si>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</si>
  <si>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</si>
  <si>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</si>
  <si>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</si>
  <si>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</si>
  <si>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</si>
  <si>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</si>
  <si>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</si>
  <si>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</si>
  <si>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</si>
  <si>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</si>
  <si>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</si>
  <si>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</si>
  <si>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</si>
  <si>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</si>
  <si>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</si>
  <si>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</si>
  <si>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</si>
  <si>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</si>
  <si>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</si>
  <si>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</si>
  <si>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</si>
  <si>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</si>
  <si>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</si>
  <si>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</si>
  <si>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</si>
  <si>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12000</t>
  </si>
  <si>
    <t>大和証券</t>
  </si>
  <si>
    <t>Daiwa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</si>
  <si>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</si>
  <si>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</si>
  <si>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</si>
  <si>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</si>
  <si>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</si>
  <si>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</si>
  <si>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</si>
  <si>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</si>
  <si>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</si>
  <si>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</si>
  <si>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</si>
  <si>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</si>
  <si>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12288</t>
  </si>
  <si>
    <t>フィリップ証券</t>
  </si>
  <si>
    <t>Phillip Securities Japan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</si>
  <si>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</si>
  <si>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</si>
  <si>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</si>
  <si>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</si>
  <si>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</si>
  <si>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</si>
  <si>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</si>
  <si>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</si>
  <si>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</si>
  <si>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</si>
  <si>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</si>
  <si>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</si>
  <si>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</si>
  <si>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131311018</t>
  </si>
  <si>
    <t>NIKKEI 225 OOP P2607-71000</t>
  </si>
  <si>
    <t>181191518</t>
  </si>
  <si>
    <t>NIKKEI 225 OOP P2607-71500</t>
  </si>
  <si>
    <t>191312018</t>
  </si>
  <si>
    <t>NIKKEI 225 OOP C2607-72000</t>
  </si>
  <si>
    <t>141311018</t>
  </si>
  <si>
    <t>NIKKEI 225 OOP C2607-71000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</si>
</sst>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4250.0</f>
        <v>4250.0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2034.0</f>
        <v>2034.0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1838.0</f>
        <v>1838.0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1821.0</f>
        <v>1821.0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1597.0</f>
        <v>1597.0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1557.0</f>
        <v>1557.0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911.0</f>
        <v>911.0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863.0</f>
        <v>863.0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474.0</f>
        <v>474.0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361.0</f>
        <v>361.0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341.0</f>
        <v>341.0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306.0</f>
        <v>306.0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265.0</f>
        <v>265.0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206.0</f>
        <v>206.0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164.0</f>
        <v>164.0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136.0</f>
        <v>136.0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86.0</f>
        <v>86.0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85.0</f>
        <v>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66.0</f>
        <v>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4.0</f>
        <v>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7300.0</f>
        <v>7300.0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31</v>
      </c>
      <c r="F31" s="4" t="s">
        <v>32</v>
      </c>
      <c r="G31" s="4" t="s">
        <v>33</v>
      </c>
      <c r="H31" s="5" t="n">
        <f>4218.0</f>
        <v>4218.0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2300.0</f>
        <v>2300.0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46</v>
      </c>
      <c r="F33" s="4" t="s">
        <v>47</v>
      </c>
      <c r="G33" s="4" t="s">
        <v>48</v>
      </c>
      <c r="H33" s="5" t="n">
        <f>2266.0</f>
        <v>2266.0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43</v>
      </c>
      <c r="F34" s="4" t="s">
        <v>44</v>
      </c>
      <c r="G34" s="4" t="s">
        <v>45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178.0</f>
        <v>178.0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37</v>
      </c>
      <c r="F36" s="4" t="s">
        <v>38</v>
      </c>
      <c r="G36" s="4" t="s">
        <v>39</v>
      </c>
      <c r="H36" s="5" t="n">
        <f>1300.0</f>
        <v>1300.0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1300.0</f>
        <v>1300.0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31</v>
      </c>
      <c r="F38" s="4" t="s">
        <v>32</v>
      </c>
      <c r="G38" s="4" t="s">
        <v>33</v>
      </c>
      <c r="H38" s="5" t="n">
        <f>54.0</f>
        <v>54.0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46</v>
      </c>
      <c r="F39" s="4" t="s">
        <v>47</v>
      </c>
      <c r="G39" s="4" t="s">
        <v>48</v>
      </c>
      <c r="H39" s="5" t="n">
        <f>6.0</f>
        <v>6.0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61</v>
      </c>
      <c r="F40" s="4" t="s">
        <v>62</v>
      </c>
      <c r="G40" s="4" t="s">
        <v>63</v>
      </c>
      <c r="H40" s="5" t="n">
        <f>2.0</f>
        <v>2.0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31</v>
      </c>
      <c r="F41" s="4" t="s">
        <v>32</v>
      </c>
      <c r="G41" s="4" t="s">
        <v>33</v>
      </c>
      <c r="H41" s="5" t="n">
        <f>36788.0</f>
        <v>36788.0</v>
      </c>
    </row>
    <row r="42">
      <c r="A42" s="3" t="s">
        <v>75</v>
      </c>
      <c r="B42" s="4" t="s">
        <v>80</v>
      </c>
      <c r="C42" s="4" t="s">
        <v>81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15044.0</f>
        <v>15044.0</v>
      </c>
    </row>
    <row r="43">
      <c r="A43" s="3" t="s">
        <v>75</v>
      </c>
      <c r="B43" s="4" t="s">
        <v>80</v>
      </c>
      <c r="C43" s="4" t="s">
        <v>81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5180.0</f>
        <v>5180.0</v>
      </c>
    </row>
    <row r="44">
      <c r="A44" s="3" t="s">
        <v>75</v>
      </c>
      <c r="B44" s="4" t="s">
        <v>80</v>
      </c>
      <c r="C44" s="4" t="s">
        <v>81</v>
      </c>
      <c r="D44" s="3" t="n">
        <v>4.0</v>
      </c>
      <c r="E44" s="4" t="s">
        <v>34</v>
      </c>
      <c r="F44" s="4" t="s">
        <v>35</v>
      </c>
      <c r="G44" s="4" t="s">
        <v>36</v>
      </c>
      <c r="H44" s="5" t="n">
        <f>140.0</f>
        <v>140.0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140.0</f>
        <v>140.0</v>
      </c>
    </row>
    <row r="46">
      <c r="A46" s="3" t="s">
        <v>75</v>
      </c>
      <c r="B46" s="4" t="s">
        <v>80</v>
      </c>
      <c r="C46" s="4" t="s">
        <v>81</v>
      </c>
      <c r="D46" s="3" t="n">
        <v>6.0</v>
      </c>
      <c r="E46" s="4" t="s">
        <v>16</v>
      </c>
      <c r="F46" s="4" t="s">
        <v>17</v>
      </c>
      <c r="G46" s="4" t="s">
        <v>18</v>
      </c>
      <c r="H46" s="5" t="n">
        <f>16.0</f>
        <v>16.0</v>
      </c>
    </row>
    <row r="47">
      <c r="A47" s="3" t="s">
        <v>75</v>
      </c>
      <c r="B47" s="4" t="s">
        <v>80</v>
      </c>
      <c r="C47" s="4" t="s">
        <v>81</v>
      </c>
      <c r="D47" s="3" t="n">
        <v>7.0</v>
      </c>
      <c r="E47" s="4" t="s">
        <v>13</v>
      </c>
      <c r="F47" s="4" t="s">
        <v>14</v>
      </c>
      <c r="G47" s="4" t="s">
        <v>15</v>
      </c>
      <c r="H47" s="5" t="n">
        <f>2.0</f>
        <v>2.0</v>
      </c>
    </row>
    <row r="48">
      <c r="A48" s="3" t="s">
        <v>75</v>
      </c>
      <c r="B48" s="4" t="s">
        <v>80</v>
      </c>
      <c r="C48" s="4" t="s">
        <v>81</v>
      </c>
      <c r="D48" s="3" t="n">
        <v>8.0</v>
      </c>
      <c r="E48" s="4" t="s">
        <v>40</v>
      </c>
      <c r="F48" s="4" t="s">
        <v>41</v>
      </c>
      <c r="G48" s="4" t="s">
        <v>42</v>
      </c>
      <c r="H48" s="5" t="n">
        <f>1.0</f>
        <v>1.0</v>
      </c>
    </row>
    <row r="49">
      <c r="A49" s="3" t="s">
        <v>75</v>
      </c>
      <c r="B49" s="4" t="s">
        <v>80</v>
      </c>
      <c r="C49" s="4" t="s">
        <v>81</v>
      </c>
      <c r="D49" s="3" t="n">
        <v>8.0</v>
      </c>
      <c r="E49" s="4" t="s">
        <v>25</v>
      </c>
      <c r="F49" s="4" t="s">
        <v>26</v>
      </c>
      <c r="G49" s="4" t="s">
        <v>27</v>
      </c>
      <c r="H49" s="5" t="n">
        <f>1.0</f>
        <v>1.0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19</v>
      </c>
      <c r="F50" s="4" t="s">
        <v>20</v>
      </c>
      <c r="G50" s="4" t="s">
        <v>21</v>
      </c>
      <c r="H50" s="5" t="n">
        <f>5879.0</f>
        <v>5879.0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13</v>
      </c>
      <c r="F51" s="4" t="s">
        <v>14</v>
      </c>
      <c r="G51" s="4" t="s">
        <v>15</v>
      </c>
      <c r="H51" s="5" t="n">
        <f>2172.0</f>
        <v>2172.0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67</v>
      </c>
      <c r="F52" s="4" t="s">
        <v>68</v>
      </c>
      <c r="G52" s="4" t="s">
        <v>69</v>
      </c>
      <c r="H52" s="5" t="n">
        <f>2000.0</f>
        <v>2000.0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28</v>
      </c>
      <c r="F53" s="4" t="s">
        <v>29</v>
      </c>
      <c r="G53" s="4" t="s">
        <v>30</v>
      </c>
      <c r="H53" s="5" t="n">
        <f>1980.0</f>
        <v>1980.0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25</v>
      </c>
      <c r="F54" s="4" t="s">
        <v>26</v>
      </c>
      <c r="G54" s="4" t="s">
        <v>27</v>
      </c>
      <c r="H54" s="5" t="n">
        <f>933.0</f>
        <v>933.0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22</v>
      </c>
      <c r="F55" s="4" t="s">
        <v>23</v>
      </c>
      <c r="G55" s="4" t="s">
        <v>24</v>
      </c>
      <c r="H55" s="5" t="n">
        <f>797.0</f>
        <v>797.0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40</v>
      </c>
      <c r="F56" s="4" t="s">
        <v>41</v>
      </c>
      <c r="G56" s="4" t="s">
        <v>42</v>
      </c>
      <c r="H56" s="5" t="n">
        <f>448.0</f>
        <v>448.0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445.0</f>
        <v>445.0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31</v>
      </c>
      <c r="F58" s="4" t="s">
        <v>32</v>
      </c>
      <c r="G58" s="4" t="s">
        <v>33</v>
      </c>
      <c r="H58" s="5" t="n">
        <f>442.0</f>
        <v>442.0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37</v>
      </c>
      <c r="F59" s="4" t="s">
        <v>38</v>
      </c>
      <c r="G59" s="4" t="s">
        <v>39</v>
      </c>
      <c r="H59" s="5" t="n">
        <f>180.0</f>
        <v>180.0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52</v>
      </c>
      <c r="F60" s="4" t="s">
        <v>53</v>
      </c>
      <c r="G60" s="4" t="s">
        <v>54</v>
      </c>
      <c r="H60" s="5" t="n">
        <f>170.0</f>
        <v>170.0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34</v>
      </c>
      <c r="F61" s="4" t="s">
        <v>35</v>
      </c>
      <c r="G61" s="4" t="s">
        <v>36</v>
      </c>
      <c r="H61" s="5" t="n">
        <f>95.0</f>
        <v>95.0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64</v>
      </c>
      <c r="F62" s="4" t="s">
        <v>65</v>
      </c>
      <c r="G62" s="4" t="s">
        <v>66</v>
      </c>
      <c r="H62" s="5" t="n">
        <f>60.0</f>
        <v>60.0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70</v>
      </c>
      <c r="F63" s="4" t="s">
        <v>71</v>
      </c>
      <c r="G63" s="4" t="s">
        <v>72</v>
      </c>
      <c r="H63" s="5" t="n">
        <f>8.0</f>
        <v>8.0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61</v>
      </c>
      <c r="F64" s="4" t="s">
        <v>62</v>
      </c>
      <c r="G64" s="4" t="s">
        <v>63</v>
      </c>
      <c r="H64" s="5" t="n">
        <f>6.0</f>
        <v>6.0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55</v>
      </c>
      <c r="F65" s="4" t="s">
        <v>56</v>
      </c>
      <c r="G65" s="4" t="s">
        <v>57</v>
      </c>
      <c r="H65" s="5" t="n">
        <f>5.0</f>
        <v>5.0</v>
      </c>
    </row>
    <row r="66">
      <c r="A66" s="3" t="s">
        <v>85</v>
      </c>
      <c r="B66" s="4" t="s">
        <v>86</v>
      </c>
      <c r="C66" s="4" t="s">
        <v>87</v>
      </c>
      <c r="D66" s="3" t="n">
        <v>1.0</v>
      </c>
      <c r="E66" s="4" t="s">
        <v>46</v>
      </c>
      <c r="F66" s="4" t="s">
        <v>47</v>
      </c>
      <c r="G66" s="4" t="s">
        <v>48</v>
      </c>
      <c r="H66" s="5" t="n">
        <f>32.0</f>
        <v>32.0</v>
      </c>
    </row>
    <row r="67">
      <c r="A67" s="3" t="s">
        <v>85</v>
      </c>
      <c r="B67" s="4" t="s">
        <v>86</v>
      </c>
      <c r="C67" s="4" t="s">
        <v>87</v>
      </c>
      <c r="D67" s="3" t="n">
        <v>2.0</v>
      </c>
      <c r="E67" s="4" t="s">
        <v>31</v>
      </c>
      <c r="F67" s="4" t="s">
        <v>32</v>
      </c>
      <c r="G67" s="4" t="s">
        <v>33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46</v>
      </c>
      <c r="F68" s="4" t="s">
        <v>47</v>
      </c>
      <c r="G68" s="4" t="s">
        <v>48</v>
      </c>
      <c r="H68" s="5" t="n">
        <f>4.0</f>
        <v>4.0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200.0</f>
        <v>200.0</v>
      </c>
    </row>
    <row r="70">
      <c r="A70" s="3" t="s">
        <v>85</v>
      </c>
      <c r="B70" s="4" t="s">
        <v>90</v>
      </c>
      <c r="C70" s="4" t="s">
        <v>91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100.0</f>
        <v>100.0</v>
      </c>
    </row>
    <row r="71">
      <c r="A71" s="3" t="s">
        <v>85</v>
      </c>
      <c r="B71" s="4" t="s">
        <v>90</v>
      </c>
      <c r="C71" s="4" t="s">
        <v>91</v>
      </c>
      <c r="D71" s="3" t="n">
        <v>2.0</v>
      </c>
      <c r="E71" s="4" t="s">
        <v>37</v>
      </c>
      <c r="F71" s="4" t="s">
        <v>38</v>
      </c>
      <c r="G71" s="4" t="s">
        <v>39</v>
      </c>
      <c r="H71" s="5" t="n">
        <f>100.0</f>
        <v>100.0</v>
      </c>
    </row>
    <row r="72">
      <c r="A72" s="3" t="s">
        <v>85</v>
      </c>
      <c r="B72" s="4" t="s">
        <v>90</v>
      </c>
      <c r="C72" s="4" t="s">
        <v>91</v>
      </c>
      <c r="D72" s="3" t="n">
        <v>2.0</v>
      </c>
      <c r="E72" s="4" t="s">
        <v>28</v>
      </c>
      <c r="F72" s="4" t="s">
        <v>29</v>
      </c>
      <c r="G72" s="4" t="s">
        <v>30</v>
      </c>
      <c r="H72" s="5" t="n">
        <f>100.0</f>
        <v>100.0</v>
      </c>
    </row>
    <row r="73">
      <c r="A73" s="3" t="s">
        <v>85</v>
      </c>
      <c r="B73" s="4" t="s">
        <v>90</v>
      </c>
      <c r="C73" s="4" t="s">
        <v>91</v>
      </c>
      <c r="D73" s="3" t="n">
        <v>2.0</v>
      </c>
      <c r="E73" s="4" t="s">
        <v>49</v>
      </c>
      <c r="F73" s="4" t="s">
        <v>50</v>
      </c>
      <c r="G73" s="4" t="s">
        <v>51</v>
      </c>
      <c r="H73" s="5" t="n">
        <f>100.0</f>
        <v>100.0</v>
      </c>
    </row>
    <row r="74">
      <c r="A74" s="3" t="s">
        <v>85</v>
      </c>
      <c r="B74" s="4" t="s">
        <v>90</v>
      </c>
      <c r="C74" s="4" t="s">
        <v>91</v>
      </c>
      <c r="D74" s="3" t="n">
        <v>6.0</v>
      </c>
      <c r="E74" s="4" t="s">
        <v>46</v>
      </c>
      <c r="F74" s="4" t="s">
        <v>47</v>
      </c>
      <c r="G74" s="4" t="s">
        <v>48</v>
      </c>
      <c r="H74" s="5" t="n">
        <f>38.0</f>
        <v>38.0</v>
      </c>
    </row>
    <row r="75">
      <c r="A75" s="3" t="s">
        <v>85</v>
      </c>
      <c r="B75" s="4" t="s">
        <v>90</v>
      </c>
      <c r="C75" s="4" t="s">
        <v>91</v>
      </c>
      <c r="D75" s="3" t="n">
        <v>7.0</v>
      </c>
      <c r="E75" s="4" t="s">
        <v>31</v>
      </c>
      <c r="F75" s="4" t="s">
        <v>32</v>
      </c>
      <c r="G75" s="4" t="s">
        <v>33</v>
      </c>
      <c r="H75" s="5" t="n">
        <f>22.0</f>
        <v>22.0</v>
      </c>
    </row>
    <row r="76">
      <c r="A76" s="3" t="s">
        <v>85</v>
      </c>
      <c r="B76" s="4" t="s">
        <v>92</v>
      </c>
      <c r="C76" s="4" t="s">
        <v>93</v>
      </c>
      <c r="D76" s="3" t="n">
        <v>1.0</v>
      </c>
      <c r="E76" s="4" t="s">
        <v>31</v>
      </c>
      <c r="F76" s="4" t="s">
        <v>32</v>
      </c>
      <c r="G76" s="4" t="s">
        <v>33</v>
      </c>
      <c r="H76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