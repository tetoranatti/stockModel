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<sst xmlns="http://schemas.openxmlformats.org/spreadsheetml/2006/main" count="412" uniqueCount="103">
  <si>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</si>
  <si>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</si>
  <si>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</si>
  <si>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</si>
  <si>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</si>
  <si>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</si>
  <si>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</si>
  <si>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</si>
  <si>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</si>
  <si>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20260706</t>
  </si>
  <si>
    <t>NK225F</t>
  </si>
  <si>
    <t>161090018</t>
  </si>
  <si>
    <t>NIKKEI 225 FUT 2609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</si>
  <si>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</si>
  <si>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</si>
  <si>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</si>
  <si>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</si>
  <si>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</si>
  <si>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</si>
  <si>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</si>
  <si>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</si>
  <si>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</si>
  <si>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</si>
  <si>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</si>
  <si>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</si>
  <si>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</si>
  <si>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</si>
  <si>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</si>
  <si>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</si>
  <si>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</si>
  <si>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</si>
  <si>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</si>
  <si>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</si>
  <si>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</si>
  <si>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</si>
  <si>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</si>
  <si>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</si>
  <si>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12057</t>
  </si>
  <si>
    <t>楽天証券</t>
  </si>
  <si>
    <t>Rakuten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</si>
  <si>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</si>
  <si>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</si>
  <si>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</si>
  <si>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</si>
  <si>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</si>
  <si>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</si>
  <si>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</si>
  <si>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</si>
  <si>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</si>
  <si>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</si>
  <si>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</si>
  <si>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</si>
  <si>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</si>
  <si>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</si>
  <si>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</si>
  <si>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</si>
  <si>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</si>
  <si>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</si>
  <si>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</si>
  <si>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</si>
  <si>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</si>
  <si>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</si>
  <si>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</si>
  <si>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</si>
  <si>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</si>
  <si>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</si>
  <si>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</si>
  <si>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</si>
  <si>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</si>
  <si>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</si>
  <si>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</si>
  <si>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</si>
  <si>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</si>
  <si>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</si>
  <si>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</si>
  <si>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</si>
  <si>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</si>
  <si>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</si>
  <si>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</si>
  <si>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</si>
  <si>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</si>
  <si>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</si>
  <si>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</si>
  <si>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</si>
  <si>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</si>
  <si>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11272</t>
  </si>
  <si>
    <t>岡三証券</t>
  </si>
  <si>
    <t>OKASAN SECURITIES</t>
  </si>
  <si>
    <t>NK225E</t>
  </si>
  <si>
    <t>131319018</t>
  </si>
  <si>
    <t>NIKKEI 225 OOP P2607-69000</t>
  </si>
  <si>
    <t>181199218</t>
  </si>
  <si>
    <t>NIKKEI 225 OOP P2607-69250</t>
  </si>
  <si>
    <t>181199518</t>
  </si>
  <si>
    <t>NIKKEI 225 OOP P2607-69500</t>
  </si>
  <si>
    <t>181199718</t>
  </si>
  <si>
    <t>NIKKEI 225 OOP P2607-69750</t>
  </si>
  <si>
    <t>191190518</t>
  </si>
  <si>
    <t>NIKKEI 225 OOP C2607-70500</t>
  </si>
  <si>
    <t>141310018</t>
  </si>
  <si>
    <t>NIKKEI 225 OOP C2607-70000</t>
  </si>
  <si>
    <t>191199518</t>
  </si>
  <si>
    <t>NIKKEI 225 OOP C2607-69500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</si>
</sst>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2025.0</f>
        <v>2025.0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652.0</f>
        <v>652.0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493.0</f>
        <v>493.0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477.0</f>
        <v>477.0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426.0</f>
        <v>426.0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392.0</f>
        <v>392.0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325.0</f>
        <v>325.0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311.0</f>
        <v>311.0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258.0</f>
        <v>258.0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256.0</f>
        <v>256.0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252.0</f>
        <v>252.0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149.0</f>
        <v>149.0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141.0</f>
        <v>141.0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123.0</f>
        <v>123.0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115.0</f>
        <v>115.0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97.0</f>
        <v>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94.0</f>
        <v>94.0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82.0</f>
        <v>82.0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41.0</f>
        <v>41.0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1.0</f>
        <v>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150.0</f>
        <v>150.0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50.0</f>
        <v>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37</v>
      </c>
      <c r="F33" s="4" t="s">
        <v>38</v>
      </c>
      <c r="G33" s="4" t="s">
        <v>39</v>
      </c>
      <c r="H33" s="5" t="n">
        <f>4.0</f>
        <v>4.0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3678.0</f>
        <v>3678.0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37</v>
      </c>
      <c r="F35" s="4" t="s">
        <v>38</v>
      </c>
      <c r="G35" s="4" t="s">
        <v>39</v>
      </c>
      <c r="H35" s="5" t="n">
        <f>1880.0</f>
        <v>1880.0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49</v>
      </c>
      <c r="F36" s="4" t="s">
        <v>50</v>
      </c>
      <c r="G36" s="4" t="s">
        <v>51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16</v>
      </c>
      <c r="F37" s="4" t="s">
        <v>17</v>
      </c>
      <c r="G37" s="4" t="s">
        <v>18</v>
      </c>
      <c r="H37" s="5" t="n">
        <f>500.0</f>
        <v>500.0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61</v>
      </c>
      <c r="F38" s="4" t="s">
        <v>62</v>
      </c>
      <c r="G38" s="4" t="s">
        <v>63</v>
      </c>
      <c r="H38" s="5" t="n">
        <f>220.0</f>
        <v>220.0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176.0</f>
        <v>176.0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37</v>
      </c>
      <c r="F40" s="4" t="s">
        <v>38</v>
      </c>
      <c r="G40" s="4" t="s">
        <v>39</v>
      </c>
      <c r="H40" s="5" t="n">
        <f>84.0</f>
        <v>84.0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61</v>
      </c>
      <c r="F41" s="4" t="s">
        <v>62</v>
      </c>
      <c r="G41" s="4" t="s">
        <v>63</v>
      </c>
      <c r="H41" s="5" t="n">
        <f>16.0</f>
        <v>16.0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41544.0</f>
        <v>41544.0</v>
      </c>
    </row>
    <row r="43">
      <c r="A43" s="3" t="s">
        <v>75</v>
      </c>
      <c r="B43" s="4" t="s">
        <v>80</v>
      </c>
      <c r="C43" s="4" t="s">
        <v>81</v>
      </c>
      <c r="D43" s="3" t="n">
        <v>2.0</v>
      </c>
      <c r="E43" s="4" t="s">
        <v>37</v>
      </c>
      <c r="F43" s="4" t="s">
        <v>38</v>
      </c>
      <c r="G43" s="4" t="s">
        <v>39</v>
      </c>
      <c r="H43" s="5" t="n">
        <f>20630.0</f>
        <v>20630.0</v>
      </c>
    </row>
    <row r="44">
      <c r="A44" s="3" t="s">
        <v>75</v>
      </c>
      <c r="B44" s="4" t="s">
        <v>80</v>
      </c>
      <c r="C44" s="4" t="s">
        <v>81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5522.0</f>
        <v>5522.0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31</v>
      </c>
      <c r="F45" s="4" t="s">
        <v>32</v>
      </c>
      <c r="G45" s="4" t="s">
        <v>33</v>
      </c>
      <c r="H45" s="5" t="n">
        <f>66.0</f>
        <v>66.0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31</v>
      </c>
      <c r="F46" s="4" t="s">
        <v>32</v>
      </c>
      <c r="G46" s="4" t="s">
        <v>33</v>
      </c>
      <c r="H46" s="5" t="n">
        <f>4758.0</f>
        <v>4758.0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25</v>
      </c>
      <c r="F47" s="4" t="s">
        <v>26</v>
      </c>
      <c r="G47" s="4" t="s">
        <v>27</v>
      </c>
      <c r="H47" s="5" t="n">
        <f>4434.0</f>
        <v>4434.0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52</v>
      </c>
      <c r="F48" s="4" t="s">
        <v>53</v>
      </c>
      <c r="G48" s="4" t="s">
        <v>54</v>
      </c>
      <c r="H48" s="5" t="n">
        <f>841.0</f>
        <v>841.0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64</v>
      </c>
      <c r="F49" s="4" t="s">
        <v>65</v>
      </c>
      <c r="G49" s="4" t="s">
        <v>66</v>
      </c>
      <c r="H49" s="5" t="n">
        <f>775.0</f>
        <v>775.0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49</v>
      </c>
      <c r="F50" s="4" t="s">
        <v>50</v>
      </c>
      <c r="G50" s="4" t="s">
        <v>51</v>
      </c>
      <c r="H50" s="5" t="n">
        <f>750.0</f>
        <v>750.0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40</v>
      </c>
      <c r="F51" s="4" t="s">
        <v>41</v>
      </c>
      <c r="G51" s="4" t="s">
        <v>42</v>
      </c>
      <c r="H51" s="5" t="n">
        <f>749.0</f>
        <v>749.0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16</v>
      </c>
      <c r="F52" s="4" t="s">
        <v>17</v>
      </c>
      <c r="G52" s="4" t="s">
        <v>18</v>
      </c>
      <c r="H52" s="5" t="n">
        <f>629.0</f>
        <v>629.0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67</v>
      </c>
      <c r="F53" s="4" t="s">
        <v>68</v>
      </c>
      <c r="G53" s="4" t="s">
        <v>69</v>
      </c>
      <c r="H53" s="5" t="n">
        <f>356.0</f>
        <v>356.0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19</v>
      </c>
      <c r="F54" s="4" t="s">
        <v>20</v>
      </c>
      <c r="G54" s="4" t="s">
        <v>21</v>
      </c>
      <c r="H54" s="5" t="n">
        <f>300.0</f>
        <v>300.0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28</v>
      </c>
      <c r="F55" s="4" t="s">
        <v>29</v>
      </c>
      <c r="G55" s="4" t="s">
        <v>30</v>
      </c>
      <c r="H55" s="5" t="n">
        <f>282.0</f>
        <v>282.0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13</v>
      </c>
      <c r="F56" s="4" t="s">
        <v>14</v>
      </c>
      <c r="G56" s="4" t="s">
        <v>15</v>
      </c>
      <c r="H56" s="5" t="n">
        <f>222.0</f>
        <v>222.0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43</v>
      </c>
      <c r="F57" s="4" t="s">
        <v>44</v>
      </c>
      <c r="G57" s="4" t="s">
        <v>45</v>
      </c>
      <c r="H57" s="5" t="n">
        <f>216.0</f>
        <v>216.0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58</v>
      </c>
      <c r="F58" s="4" t="s">
        <v>59</v>
      </c>
      <c r="G58" s="4" t="s">
        <v>60</v>
      </c>
      <c r="H58" s="5" t="n">
        <f>172.0</f>
        <v>172.0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22</v>
      </c>
      <c r="F59" s="4" t="s">
        <v>23</v>
      </c>
      <c r="G59" s="4" t="s">
        <v>24</v>
      </c>
      <c r="H59" s="5" t="n">
        <f>144.0</f>
        <v>144.0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61</v>
      </c>
      <c r="F60" s="4" t="s">
        <v>62</v>
      </c>
      <c r="G60" s="4" t="s">
        <v>63</v>
      </c>
      <c r="H60" s="5" t="n">
        <f>24.0</f>
        <v>24.0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85</v>
      </c>
      <c r="F61" s="4" t="s">
        <v>86</v>
      </c>
      <c r="G61" s="4" t="s">
        <v>87</v>
      </c>
      <c r="H61" s="5" t="n">
        <f>2.0</f>
        <v>2.0</v>
      </c>
    </row>
    <row r="62">
      <c r="A62" s="3" t="s">
        <v>88</v>
      </c>
      <c r="B62" s="4" t="s">
        <v>89</v>
      </c>
      <c r="C62" s="4" t="s">
        <v>90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2.0</f>
        <v>2.0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37</v>
      </c>
      <c r="F63" s="4" t="s">
        <v>38</v>
      </c>
      <c r="G63" s="4" t="s">
        <v>39</v>
      </c>
      <c r="H63" s="5" t="n">
        <f>2.0</f>
        <v>2.0</v>
      </c>
    </row>
    <row r="64">
      <c r="A64" s="3" t="s">
        <v>88</v>
      </c>
      <c r="B64" s="4" t="s">
        <v>93</v>
      </c>
      <c r="C64" s="4" t="s">
        <v>94</v>
      </c>
      <c r="D64" s="3" t="n">
        <v>1.0</v>
      </c>
      <c r="E64" s="4" t="s">
        <v>37</v>
      </c>
      <c r="F64" s="4" t="s">
        <v>38</v>
      </c>
      <c r="G64" s="4" t="s">
        <v>39</v>
      </c>
      <c r="H64" s="5" t="n">
        <f>2.0</f>
        <v>2.0</v>
      </c>
    </row>
    <row r="65">
      <c r="A65" s="3" t="s">
        <v>88</v>
      </c>
      <c r="B65" s="4" t="s">
        <v>95</v>
      </c>
      <c r="C65" s="4" t="s">
        <v>96</v>
      </c>
      <c r="D65" s="3" t="n">
        <v>1.0</v>
      </c>
      <c r="E65" s="4" t="s">
        <v>37</v>
      </c>
      <c r="F65" s="4" t="s">
        <v>38</v>
      </c>
      <c r="G65" s="4" t="s">
        <v>39</v>
      </c>
      <c r="H65" s="5" t="n">
        <f>2.0</f>
        <v>2.0</v>
      </c>
    </row>
    <row r="66">
      <c r="A66" s="3" t="s">
        <v>88</v>
      </c>
      <c r="B66" s="4" t="s">
        <v>97</v>
      </c>
      <c r="C66" s="4" t="s">
        <v>98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2.0</f>
        <v>2.0</v>
      </c>
    </row>
    <row r="67">
      <c r="A67" s="3" t="s">
        <v>88</v>
      </c>
      <c r="B67" s="4" t="s">
        <v>97</v>
      </c>
      <c r="C67" s="4" t="s">
        <v>98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2.0</f>
        <v>2.0</v>
      </c>
    </row>
    <row r="68">
      <c r="A68" s="3" t="s">
        <v>88</v>
      </c>
      <c r="B68" s="4" t="s">
        <v>99</v>
      </c>
      <c r="C68" s="4" t="s">
        <v>100</v>
      </c>
      <c r="D68" s="3" t="n">
        <v>1.0</v>
      </c>
      <c r="E68" s="4" t="s">
        <v>52</v>
      </c>
      <c r="F68" s="4" t="s">
        <v>53</v>
      </c>
      <c r="G68" s="4" t="s">
        <v>54</v>
      </c>
      <c r="H68" s="5" t="n">
        <f>200.0</f>
        <v>200.0</v>
      </c>
    </row>
    <row r="69">
      <c r="A69" s="3" t="s">
        <v>88</v>
      </c>
      <c r="B69" s="4" t="s">
        <v>99</v>
      </c>
      <c r="C69" s="4" t="s">
        <v>100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200.0</f>
        <v>200.0</v>
      </c>
    </row>
    <row r="70">
      <c r="A70" s="3" t="s">
        <v>88</v>
      </c>
      <c r="B70" s="4" t="s">
        <v>99</v>
      </c>
      <c r="C70" s="4" t="s">
        <v>100</v>
      </c>
      <c r="D70" s="3" t="n">
        <v>3.0</v>
      </c>
      <c r="E70" s="4" t="s">
        <v>40</v>
      </c>
      <c r="F70" s="4" t="s">
        <v>41</v>
      </c>
      <c r="G70" s="4" t="s">
        <v>42</v>
      </c>
      <c r="H70" s="5" t="n">
        <f>100.0</f>
        <v>100.0</v>
      </c>
    </row>
    <row r="71">
      <c r="A71" s="3" t="s">
        <v>88</v>
      </c>
      <c r="B71" s="4" t="s">
        <v>99</v>
      </c>
      <c r="C71" s="4" t="s">
        <v>100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100.0</f>
        <v>100.0</v>
      </c>
    </row>
    <row r="72">
      <c r="A72" s="3" t="s">
        <v>88</v>
      </c>
      <c r="B72" s="4" t="s">
        <v>99</v>
      </c>
      <c r="C72" s="4" t="s">
        <v>100</v>
      </c>
      <c r="D72" s="3" t="n">
        <v>5.0</v>
      </c>
      <c r="E72" s="4" t="s">
        <v>13</v>
      </c>
      <c r="F72" s="4" t="s">
        <v>14</v>
      </c>
      <c r="G72" s="4" t="s">
        <v>15</v>
      </c>
      <c r="H72" s="5" t="n">
        <f>10.0</f>
        <v>10.0</v>
      </c>
    </row>
    <row r="73">
      <c r="A73" s="3" t="s">
        <v>88</v>
      </c>
      <c r="B73" s="4" t="s">
        <v>99</v>
      </c>
      <c r="C73" s="4" t="s">
        <v>100</v>
      </c>
      <c r="D73" s="3" t="n">
        <v>6.0</v>
      </c>
      <c r="E73" s="4" t="s">
        <v>37</v>
      </c>
      <c r="F73" s="4" t="s">
        <v>38</v>
      </c>
      <c r="G73" s="4" t="s">
        <v>39</v>
      </c>
      <c r="H73" s="5" t="n">
        <f>2.0</f>
        <v>2.0</v>
      </c>
    </row>
    <row r="74">
      <c r="A74" s="3" t="s">
        <v>88</v>
      </c>
      <c r="B74" s="4" t="s">
        <v>101</v>
      </c>
      <c r="C74" s="4" t="s">
        <v>102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6.0</f>
        <v>6.0</v>
      </c>
    </row>
    <row r="75">
      <c r="A75" s="3" t="s">
        <v>88</v>
      </c>
      <c r="B75" s="4" t="s">
        <v>101</v>
      </c>
      <c r="C75" s="4" t="s">
        <v>102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