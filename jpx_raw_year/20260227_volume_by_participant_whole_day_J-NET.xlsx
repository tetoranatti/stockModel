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<sst xmlns="http://schemas.openxmlformats.org/spreadsheetml/2006/main" count="442" uniqueCount="95">
  <si>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</si>
  <si>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</si>
  <si>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</si>
  <si>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</si>
  <si>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</si>
  <si>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</si>
  <si>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</si>
  <si>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</si>
  <si>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</si>
  <si>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20260227</t>
  </si>
  <si>
    <t>NK225F</t>
  </si>
  <si>
    <t>161030018</t>
  </si>
  <si>
    <t>NIKKEI 225 FUT 2603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</si>
  <si>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</si>
  <si>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</si>
  <si>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</si>
  <si>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</si>
  <si>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</si>
  <si>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</si>
  <si>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</si>
  <si>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</si>
  <si>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</si>
  <si>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</si>
  <si>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</si>
  <si>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</si>
  <si>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</si>
  <si>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</si>
  <si>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</si>
  <si>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</si>
  <si>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</si>
  <si>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</si>
  <si>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</si>
  <si>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</si>
  <si>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</si>
  <si>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</si>
  <si>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</si>
  <si>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</si>
  <si>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</si>
  <si>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</si>
  <si>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</si>
  <si>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</si>
  <si>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</si>
  <si>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</si>
  <si>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</si>
  <si>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</si>
  <si>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</si>
  <si>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</si>
  <si>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</si>
  <si>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</si>
  <si>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12057</t>
  </si>
  <si>
    <t>楽天証券</t>
  </si>
  <si>
    <t>Rakuten Securities</t>
  </si>
  <si>
    <t>12000</t>
  </si>
  <si>
    <t>大和証券</t>
  </si>
  <si>
    <t>Daiwa Securities</t>
  </si>
  <si>
    <t>11272</t>
  </si>
  <si>
    <t>岡三証券</t>
  </si>
  <si>
    <t>OKASAN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</si>
  <si>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</si>
  <si>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</si>
  <si>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</si>
  <si>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</si>
  <si>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</si>
  <si>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</si>
  <si>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</si>
  <si>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</si>
  <si>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</si>
  <si>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161060018</t>
  </si>
  <si>
    <t>NIKKEI 225 FUT 2606</t>
  </si>
  <si>
    <t>NK225MF</t>
  </si>
  <si>
    <t>161030019</t>
  </si>
  <si>
    <t>MINI NK225 FUT 2603</t>
  </si>
  <si>
    <t>12328</t>
  </si>
  <si>
    <t>ＳＭＢＣ日興証券</t>
  </si>
  <si>
    <t>SMBC Nikko Securities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</si>
  <si>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</si>
  <si>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</si>
  <si>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</si>
  <si>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</si>
  <si>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</si>
  <si>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</si>
  <si>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</si>
  <si>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NK225E</t>
  </si>
  <si>
    <t>181158018</t>
  </si>
  <si>
    <t>NIKKEI 225 OOP P2603-58000</t>
  </si>
  <si>
    <t>181158218</t>
  </si>
  <si>
    <t>NIKKEI 225 OOP P2603-58250</t>
  </si>
  <si>
    <t>181158518</t>
  </si>
  <si>
    <t>NIKKEI 225 OOP P2603-58500</t>
  </si>
  <si>
    <t>181159018</t>
  </si>
  <si>
    <t>NIKKEI 225 OOP P2603-59000</t>
  </si>
  <si>
    <t>191159518</t>
  </si>
  <si>
    <t>NIKKEI 225 OOP C2603-59500</t>
  </si>
  <si>
    <t>191159018</t>
  </si>
  <si>
    <t>NIKKEI 225 OOP C2603-59000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</si>
</sst>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1694.0</f>
        <v>1694.0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1508.0</f>
        <v>1508.0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1213.0</f>
        <v>1213.0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1077.0</f>
        <v>1077.0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767.0</f>
        <v>767.0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696.0</f>
        <v>696.0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530.0</f>
        <v>530.0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464.0</f>
        <v>464.0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399.0</f>
        <v>399.0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383.0</f>
        <v>383.0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379.0</f>
        <v>379.0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371.0</f>
        <v>371.0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246.0</f>
        <v>246.0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187.0</f>
        <v>187.0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120.0</f>
        <v>120.0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97.0</f>
        <v>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77.0</f>
        <v>77.0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42.0</f>
        <v>42.0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25</v>
      </c>
      <c r="F27" s="4" t="s">
        <v>26</v>
      </c>
      <c r="G27" s="4" t="s">
        <v>27</v>
      </c>
      <c r="H27" s="5" t="n">
        <f>650.0</f>
        <v>650.0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19</v>
      </c>
      <c r="F28" s="4" t="s">
        <v>20</v>
      </c>
      <c r="G28" s="4" t="s">
        <v>21</v>
      </c>
      <c r="H28" s="5" t="n">
        <f>350.0</f>
        <v>350.0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34</v>
      </c>
      <c r="F29" s="4" t="s">
        <v>35</v>
      </c>
      <c r="G29" s="4" t="s">
        <v>36</v>
      </c>
      <c r="H29" s="5" t="n">
        <f>200.0</f>
        <v>200.0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31</v>
      </c>
      <c r="F30" s="4" t="s">
        <v>32</v>
      </c>
      <c r="G30" s="4" t="s">
        <v>33</v>
      </c>
      <c r="H30" s="5" t="n">
        <f>100.0</f>
        <v>100.0</v>
      </c>
    </row>
    <row r="31">
      <c r="A31" s="3" t="s">
        <v>10</v>
      </c>
      <c r="B31" s="4" t="s">
        <v>67</v>
      </c>
      <c r="C31" s="4" t="s">
        <v>68</v>
      </c>
      <c r="D31" s="3" t="n">
        <v>4.0</v>
      </c>
      <c r="E31" s="4" t="s">
        <v>46</v>
      </c>
      <c r="F31" s="4" t="s">
        <v>47</v>
      </c>
      <c r="G31" s="4" t="s">
        <v>48</v>
      </c>
      <c r="H31" s="5" t="n">
        <f>100.0</f>
        <v>100.0</v>
      </c>
    </row>
    <row r="32">
      <c r="A32" s="3" t="s">
        <v>10</v>
      </c>
      <c r="B32" s="4" t="s">
        <v>67</v>
      </c>
      <c r="C32" s="4" t="s">
        <v>68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100.0</f>
        <v>100.0</v>
      </c>
    </row>
    <row r="33">
      <c r="A33" s="3" t="s">
        <v>10</v>
      </c>
      <c r="B33" s="4" t="s">
        <v>67</v>
      </c>
      <c r="C33" s="4" t="s">
        <v>68</v>
      </c>
      <c r="D33" s="3" t="n">
        <v>7.0</v>
      </c>
      <c r="E33" s="4" t="s">
        <v>28</v>
      </c>
      <c r="F33" s="4" t="s">
        <v>29</v>
      </c>
      <c r="G33" s="4" t="s">
        <v>30</v>
      </c>
      <c r="H33" s="5" t="n">
        <f>28.0</f>
        <v>28.0</v>
      </c>
    </row>
    <row r="34">
      <c r="A34" s="3" t="s">
        <v>10</v>
      </c>
      <c r="B34" s="4" t="s">
        <v>67</v>
      </c>
      <c r="C34" s="4" t="s">
        <v>68</v>
      </c>
      <c r="D34" s="3" t="n">
        <v>8.0</v>
      </c>
      <c r="E34" s="4" t="s">
        <v>49</v>
      </c>
      <c r="F34" s="4" t="s">
        <v>50</v>
      </c>
      <c r="G34" s="4" t="s">
        <v>51</v>
      </c>
      <c r="H34" s="5" t="n">
        <f>22.0</f>
        <v>22.0</v>
      </c>
    </row>
    <row r="35">
      <c r="A35" s="3" t="s">
        <v>69</v>
      </c>
      <c r="B35" s="4" t="s">
        <v>70</v>
      </c>
      <c r="C35" s="4" t="s">
        <v>71</v>
      </c>
      <c r="D35" s="3" t="n">
        <v>1.0</v>
      </c>
      <c r="E35" s="4" t="s">
        <v>28</v>
      </c>
      <c r="F35" s="4" t="s">
        <v>29</v>
      </c>
      <c r="G35" s="4" t="s">
        <v>30</v>
      </c>
      <c r="H35" s="5" t="n">
        <f>41352.0</f>
        <v>41352.0</v>
      </c>
    </row>
    <row r="36">
      <c r="A36" s="3" t="s">
        <v>69</v>
      </c>
      <c r="B36" s="4" t="s">
        <v>70</v>
      </c>
      <c r="C36" s="4" t="s">
        <v>71</v>
      </c>
      <c r="D36" s="3" t="n">
        <v>2.0</v>
      </c>
      <c r="E36" s="4" t="s">
        <v>49</v>
      </c>
      <c r="F36" s="4" t="s">
        <v>50</v>
      </c>
      <c r="G36" s="4" t="s">
        <v>51</v>
      </c>
      <c r="H36" s="5" t="n">
        <f>21862.0</f>
        <v>21862.0</v>
      </c>
    </row>
    <row r="37">
      <c r="A37" s="3" t="s">
        <v>69</v>
      </c>
      <c r="B37" s="4" t="s">
        <v>70</v>
      </c>
      <c r="C37" s="4" t="s">
        <v>71</v>
      </c>
      <c r="D37" s="3" t="n">
        <v>3.0</v>
      </c>
      <c r="E37" s="4" t="s">
        <v>64</v>
      </c>
      <c r="F37" s="4" t="s">
        <v>65</v>
      </c>
      <c r="G37" s="4" t="s">
        <v>66</v>
      </c>
      <c r="H37" s="5" t="n">
        <f>6498.0</f>
        <v>6498.0</v>
      </c>
    </row>
    <row r="38">
      <c r="A38" s="3" t="s">
        <v>69</v>
      </c>
      <c r="B38" s="4" t="s">
        <v>70</v>
      </c>
      <c r="C38" s="4" t="s">
        <v>71</v>
      </c>
      <c r="D38" s="3" t="n">
        <v>4.0</v>
      </c>
      <c r="E38" s="4" t="s">
        <v>40</v>
      </c>
      <c r="F38" s="4" t="s">
        <v>41</v>
      </c>
      <c r="G38" s="4" t="s">
        <v>42</v>
      </c>
      <c r="H38" s="5" t="n">
        <f>73.0</f>
        <v>73.0</v>
      </c>
    </row>
    <row r="39">
      <c r="A39" s="3" t="s">
        <v>69</v>
      </c>
      <c r="B39" s="4" t="s">
        <v>70</v>
      </c>
      <c r="C39" s="4" t="s">
        <v>71</v>
      </c>
      <c r="D39" s="3" t="n">
        <v>4.0</v>
      </c>
      <c r="E39" s="4" t="s">
        <v>72</v>
      </c>
      <c r="F39" s="4" t="s">
        <v>73</v>
      </c>
      <c r="G39" s="4" t="s">
        <v>74</v>
      </c>
      <c r="H39" s="5" t="n">
        <f>73.0</f>
        <v>73.0</v>
      </c>
    </row>
    <row r="40">
      <c r="A40" s="3" t="s">
        <v>69</v>
      </c>
      <c r="B40" s="4" t="s">
        <v>70</v>
      </c>
      <c r="C40" s="4" t="s">
        <v>71</v>
      </c>
      <c r="D40" s="3" t="n">
        <v>6.0</v>
      </c>
      <c r="E40" s="4" t="s">
        <v>31</v>
      </c>
      <c r="F40" s="4" t="s">
        <v>32</v>
      </c>
      <c r="G40" s="4" t="s">
        <v>33</v>
      </c>
      <c r="H40" s="5" t="n">
        <f>50.0</f>
        <v>50.0</v>
      </c>
    </row>
    <row r="41">
      <c r="A41" s="3" t="s">
        <v>69</v>
      </c>
      <c r="B41" s="4" t="s">
        <v>70</v>
      </c>
      <c r="C41" s="4" t="s">
        <v>71</v>
      </c>
      <c r="D41" s="3" t="n">
        <v>7.0</v>
      </c>
      <c r="E41" s="4" t="s">
        <v>22</v>
      </c>
      <c r="F41" s="4" t="s">
        <v>23</v>
      </c>
      <c r="G41" s="4" t="s">
        <v>24</v>
      </c>
      <c r="H41" s="5" t="n">
        <f>32.0</f>
        <v>32.0</v>
      </c>
    </row>
    <row r="42">
      <c r="A42" s="3" t="s">
        <v>69</v>
      </c>
      <c r="B42" s="4" t="s">
        <v>75</v>
      </c>
      <c r="C42" s="4" t="s">
        <v>76</v>
      </c>
      <c r="D42" s="3" t="n">
        <v>1.0</v>
      </c>
      <c r="E42" s="4" t="s">
        <v>37</v>
      </c>
      <c r="F42" s="4" t="s">
        <v>38</v>
      </c>
      <c r="G42" s="4" t="s">
        <v>39</v>
      </c>
      <c r="H42" s="5" t="n">
        <f>1000.0</f>
        <v>1000.0</v>
      </c>
    </row>
    <row r="43">
      <c r="A43" s="3" t="s">
        <v>69</v>
      </c>
      <c r="B43" s="4" t="s">
        <v>75</v>
      </c>
      <c r="C43" s="4" t="s">
        <v>76</v>
      </c>
      <c r="D43" s="3" t="n">
        <v>1.0</v>
      </c>
      <c r="E43" s="4" t="s">
        <v>19</v>
      </c>
      <c r="F43" s="4" t="s">
        <v>20</v>
      </c>
      <c r="G43" s="4" t="s">
        <v>21</v>
      </c>
      <c r="H43" s="5" t="n">
        <f>1000.0</f>
        <v>1000.0</v>
      </c>
    </row>
    <row r="44">
      <c r="A44" s="3" t="s">
        <v>69</v>
      </c>
      <c r="B44" s="4" t="s">
        <v>75</v>
      </c>
      <c r="C44" s="4" t="s">
        <v>76</v>
      </c>
      <c r="D44" s="3" t="n">
        <v>3.0</v>
      </c>
      <c r="E44" s="4" t="s">
        <v>49</v>
      </c>
      <c r="F44" s="4" t="s">
        <v>50</v>
      </c>
      <c r="G44" s="4" t="s">
        <v>51</v>
      </c>
      <c r="H44" s="5" t="n">
        <f>278.0</f>
        <v>278.0</v>
      </c>
    </row>
    <row r="45">
      <c r="A45" s="3" t="s">
        <v>69</v>
      </c>
      <c r="B45" s="4" t="s">
        <v>75</v>
      </c>
      <c r="C45" s="4" t="s">
        <v>76</v>
      </c>
      <c r="D45" s="3" t="n">
        <v>4.0</v>
      </c>
      <c r="E45" s="4" t="s">
        <v>28</v>
      </c>
      <c r="F45" s="4" t="s">
        <v>29</v>
      </c>
      <c r="G45" s="4" t="s">
        <v>30</v>
      </c>
      <c r="H45" s="5" t="n">
        <f>140.0</f>
        <v>140.0</v>
      </c>
    </row>
    <row r="46">
      <c r="A46" s="3" t="s">
        <v>69</v>
      </c>
      <c r="B46" s="4" t="s">
        <v>75</v>
      </c>
      <c r="C46" s="4" t="s">
        <v>76</v>
      </c>
      <c r="D46" s="3" t="n">
        <v>5.0</v>
      </c>
      <c r="E46" s="4" t="s">
        <v>64</v>
      </c>
      <c r="F46" s="4" t="s">
        <v>65</v>
      </c>
      <c r="G46" s="4" t="s">
        <v>66</v>
      </c>
      <c r="H46" s="5" t="n">
        <f>42.0</f>
        <v>42.0</v>
      </c>
    </row>
    <row r="47">
      <c r="A47" s="3" t="s">
        <v>69</v>
      </c>
      <c r="B47" s="4" t="s">
        <v>77</v>
      </c>
      <c r="C47" s="4" t="s">
        <v>78</v>
      </c>
      <c r="D47" s="3" t="n">
        <v>1.0</v>
      </c>
      <c r="E47" s="4" t="s">
        <v>28</v>
      </c>
      <c r="F47" s="4" t="s">
        <v>29</v>
      </c>
      <c r="G47" s="4" t="s">
        <v>30</v>
      </c>
      <c r="H47" s="5" t="n">
        <f>54.0</f>
        <v>54.0</v>
      </c>
    </row>
    <row r="48">
      <c r="A48" s="3" t="s">
        <v>69</v>
      </c>
      <c r="B48" s="4" t="s">
        <v>77</v>
      </c>
      <c r="C48" s="4" t="s">
        <v>78</v>
      </c>
      <c r="D48" s="3" t="n">
        <v>2.0</v>
      </c>
      <c r="E48" s="4" t="s">
        <v>64</v>
      </c>
      <c r="F48" s="4" t="s">
        <v>65</v>
      </c>
      <c r="G48" s="4" t="s">
        <v>66</v>
      </c>
      <c r="H48" s="5" t="n">
        <f>6.0</f>
        <v>6.0</v>
      </c>
    </row>
    <row r="49">
      <c r="A49" s="3" t="s">
        <v>69</v>
      </c>
      <c r="B49" s="4" t="s">
        <v>77</v>
      </c>
      <c r="C49" s="4" t="s">
        <v>78</v>
      </c>
      <c r="D49" s="3" t="n">
        <v>2.0</v>
      </c>
      <c r="E49" s="4" t="s">
        <v>49</v>
      </c>
      <c r="F49" s="4" t="s">
        <v>50</v>
      </c>
      <c r="G49" s="4" t="s">
        <v>51</v>
      </c>
      <c r="H49" s="5" t="n">
        <f>6.0</f>
        <v>6.0</v>
      </c>
    </row>
    <row r="50">
      <c r="A50" s="3" t="s">
        <v>79</v>
      </c>
      <c r="B50" s="4" t="s">
        <v>80</v>
      </c>
      <c r="C50" s="4" t="s">
        <v>81</v>
      </c>
      <c r="D50" s="3" t="n">
        <v>1.0</v>
      </c>
      <c r="E50" s="4" t="s">
        <v>31</v>
      </c>
      <c r="F50" s="4" t="s">
        <v>32</v>
      </c>
      <c r="G50" s="4" t="s">
        <v>33</v>
      </c>
      <c r="H50" s="5" t="n">
        <f>4684.0</f>
        <v>4684.0</v>
      </c>
    </row>
    <row r="51">
      <c r="A51" s="3" t="s">
        <v>79</v>
      </c>
      <c r="B51" s="4" t="s">
        <v>80</v>
      </c>
      <c r="C51" s="4" t="s">
        <v>81</v>
      </c>
      <c r="D51" s="3" t="n">
        <v>2.0</v>
      </c>
      <c r="E51" s="4" t="s">
        <v>43</v>
      </c>
      <c r="F51" s="4" t="s">
        <v>44</v>
      </c>
      <c r="G51" s="4" t="s">
        <v>45</v>
      </c>
      <c r="H51" s="5" t="n">
        <f>4576.0</f>
        <v>4576.0</v>
      </c>
    </row>
    <row r="52">
      <c r="A52" s="3" t="s">
        <v>79</v>
      </c>
      <c r="B52" s="4" t="s">
        <v>80</v>
      </c>
      <c r="C52" s="4" t="s">
        <v>81</v>
      </c>
      <c r="D52" s="3" t="n">
        <v>3.0</v>
      </c>
      <c r="E52" s="4" t="s">
        <v>37</v>
      </c>
      <c r="F52" s="4" t="s">
        <v>38</v>
      </c>
      <c r="G52" s="4" t="s">
        <v>39</v>
      </c>
      <c r="H52" s="5" t="n">
        <f>4187.0</f>
        <v>4187.0</v>
      </c>
    </row>
    <row r="53">
      <c r="A53" s="3" t="s">
        <v>79</v>
      </c>
      <c r="B53" s="4" t="s">
        <v>80</v>
      </c>
      <c r="C53" s="4" t="s">
        <v>81</v>
      </c>
      <c r="D53" s="3" t="n">
        <v>4.0</v>
      </c>
      <c r="E53" s="4" t="s">
        <v>16</v>
      </c>
      <c r="F53" s="4" t="s">
        <v>17</v>
      </c>
      <c r="G53" s="4" t="s">
        <v>18</v>
      </c>
      <c r="H53" s="5" t="n">
        <f>3613.0</f>
        <v>3613.0</v>
      </c>
    </row>
    <row r="54">
      <c r="A54" s="3" t="s">
        <v>79</v>
      </c>
      <c r="B54" s="4" t="s">
        <v>80</v>
      </c>
      <c r="C54" s="4" t="s">
        <v>81</v>
      </c>
      <c r="D54" s="3" t="n">
        <v>5.0</v>
      </c>
      <c r="E54" s="4" t="s">
        <v>72</v>
      </c>
      <c r="F54" s="4" t="s">
        <v>73</v>
      </c>
      <c r="G54" s="4" t="s">
        <v>74</v>
      </c>
      <c r="H54" s="5" t="n">
        <f>2365.0</f>
        <v>2365.0</v>
      </c>
    </row>
    <row r="55">
      <c r="A55" s="3" t="s">
        <v>79</v>
      </c>
      <c r="B55" s="4" t="s">
        <v>80</v>
      </c>
      <c r="C55" s="4" t="s">
        <v>81</v>
      </c>
      <c r="D55" s="3" t="n">
        <v>6.0</v>
      </c>
      <c r="E55" s="4" t="s">
        <v>61</v>
      </c>
      <c r="F55" s="4" t="s">
        <v>62</v>
      </c>
      <c r="G55" s="4" t="s">
        <v>63</v>
      </c>
      <c r="H55" s="5" t="n">
        <f>1440.0</f>
        <v>1440.0</v>
      </c>
    </row>
    <row r="56">
      <c r="A56" s="3" t="s">
        <v>79</v>
      </c>
      <c r="B56" s="4" t="s">
        <v>80</v>
      </c>
      <c r="C56" s="4" t="s">
        <v>81</v>
      </c>
      <c r="D56" s="3" t="n">
        <v>7.0</v>
      </c>
      <c r="E56" s="4" t="s">
        <v>22</v>
      </c>
      <c r="F56" s="4" t="s">
        <v>23</v>
      </c>
      <c r="G56" s="4" t="s">
        <v>24</v>
      </c>
      <c r="H56" s="5" t="n">
        <f>880.0</f>
        <v>880.0</v>
      </c>
    </row>
    <row r="57">
      <c r="A57" s="3" t="s">
        <v>79</v>
      </c>
      <c r="B57" s="4" t="s">
        <v>80</v>
      </c>
      <c r="C57" s="4" t="s">
        <v>81</v>
      </c>
      <c r="D57" s="3" t="n">
        <v>8.0</v>
      </c>
      <c r="E57" s="4" t="s">
        <v>25</v>
      </c>
      <c r="F57" s="4" t="s">
        <v>26</v>
      </c>
      <c r="G57" s="4" t="s">
        <v>27</v>
      </c>
      <c r="H57" s="5" t="n">
        <f>873.0</f>
        <v>873.0</v>
      </c>
    </row>
    <row r="58">
      <c r="A58" s="3" t="s">
        <v>79</v>
      </c>
      <c r="B58" s="4" t="s">
        <v>80</v>
      </c>
      <c r="C58" s="4" t="s">
        <v>81</v>
      </c>
      <c r="D58" s="3" t="n">
        <v>9.0</v>
      </c>
      <c r="E58" s="4" t="s">
        <v>19</v>
      </c>
      <c r="F58" s="4" t="s">
        <v>20</v>
      </c>
      <c r="G58" s="4" t="s">
        <v>21</v>
      </c>
      <c r="H58" s="5" t="n">
        <f>839.0</f>
        <v>839.0</v>
      </c>
    </row>
    <row r="59">
      <c r="A59" s="3" t="s">
        <v>79</v>
      </c>
      <c r="B59" s="4" t="s">
        <v>80</v>
      </c>
      <c r="C59" s="4" t="s">
        <v>81</v>
      </c>
      <c r="D59" s="3" t="n">
        <v>10.0</v>
      </c>
      <c r="E59" s="4" t="s">
        <v>40</v>
      </c>
      <c r="F59" s="4" t="s">
        <v>41</v>
      </c>
      <c r="G59" s="4" t="s">
        <v>42</v>
      </c>
      <c r="H59" s="5" t="n">
        <f>815.0</f>
        <v>815.0</v>
      </c>
    </row>
    <row r="60">
      <c r="A60" s="3" t="s">
        <v>79</v>
      </c>
      <c r="B60" s="4" t="s">
        <v>80</v>
      </c>
      <c r="C60" s="4" t="s">
        <v>81</v>
      </c>
      <c r="D60" s="3" t="n">
        <v>11.0</v>
      </c>
      <c r="E60" s="4" t="s">
        <v>34</v>
      </c>
      <c r="F60" s="4" t="s">
        <v>35</v>
      </c>
      <c r="G60" s="4" t="s">
        <v>36</v>
      </c>
      <c r="H60" s="5" t="n">
        <f>400.0</f>
        <v>400.0</v>
      </c>
    </row>
    <row r="61">
      <c r="A61" s="3" t="s">
        <v>79</v>
      </c>
      <c r="B61" s="4" t="s">
        <v>80</v>
      </c>
      <c r="C61" s="4" t="s">
        <v>81</v>
      </c>
      <c r="D61" s="3" t="n">
        <v>12.0</v>
      </c>
      <c r="E61" s="4" t="s">
        <v>46</v>
      </c>
      <c r="F61" s="4" t="s">
        <v>47</v>
      </c>
      <c r="G61" s="4" t="s">
        <v>48</v>
      </c>
      <c r="H61" s="5" t="n">
        <f>338.0</f>
        <v>338.0</v>
      </c>
    </row>
    <row r="62">
      <c r="A62" s="3" t="s">
        <v>79</v>
      </c>
      <c r="B62" s="4" t="s">
        <v>80</v>
      </c>
      <c r="C62" s="4" t="s">
        <v>81</v>
      </c>
      <c r="D62" s="3" t="n">
        <v>13.0</v>
      </c>
      <c r="E62" s="4" t="s">
        <v>52</v>
      </c>
      <c r="F62" s="4" t="s">
        <v>53</v>
      </c>
      <c r="G62" s="4" t="s">
        <v>54</v>
      </c>
      <c r="H62" s="5" t="n">
        <f>212.0</f>
        <v>212.0</v>
      </c>
    </row>
    <row r="63">
      <c r="A63" s="3" t="s">
        <v>79</v>
      </c>
      <c r="B63" s="4" t="s">
        <v>80</v>
      </c>
      <c r="C63" s="4" t="s">
        <v>81</v>
      </c>
      <c r="D63" s="3" t="n">
        <v>14.0</v>
      </c>
      <c r="E63" s="4" t="s">
        <v>13</v>
      </c>
      <c r="F63" s="4" t="s">
        <v>14</v>
      </c>
      <c r="G63" s="4" t="s">
        <v>15</v>
      </c>
      <c r="H63" s="5" t="n">
        <f>200.0</f>
        <v>200.0</v>
      </c>
    </row>
    <row r="64">
      <c r="A64" s="3" t="s">
        <v>79</v>
      </c>
      <c r="B64" s="4" t="s">
        <v>80</v>
      </c>
      <c r="C64" s="4" t="s">
        <v>81</v>
      </c>
      <c r="D64" s="3" t="n">
        <v>15.0</v>
      </c>
      <c r="E64" s="4" t="s">
        <v>28</v>
      </c>
      <c r="F64" s="4" t="s">
        <v>29</v>
      </c>
      <c r="G64" s="4" t="s">
        <v>30</v>
      </c>
      <c r="H64" s="5" t="n">
        <f>110.0</f>
        <v>110.0</v>
      </c>
    </row>
    <row r="65">
      <c r="A65" s="3" t="s">
        <v>79</v>
      </c>
      <c r="B65" s="4" t="s">
        <v>80</v>
      </c>
      <c r="C65" s="4" t="s">
        <v>81</v>
      </c>
      <c r="D65" s="3" t="n">
        <v>16.0</v>
      </c>
      <c r="E65" s="4" t="s">
        <v>55</v>
      </c>
      <c r="F65" s="4" t="s">
        <v>56</v>
      </c>
      <c r="G65" s="4" t="s">
        <v>57</v>
      </c>
      <c r="H65" s="5" t="n">
        <f>47.0</f>
        <v>47.0</v>
      </c>
    </row>
    <row r="66">
      <c r="A66" s="3" t="s">
        <v>79</v>
      </c>
      <c r="B66" s="4" t="s">
        <v>80</v>
      </c>
      <c r="C66" s="4" t="s">
        <v>81</v>
      </c>
      <c r="D66" s="3" t="n">
        <v>17.0</v>
      </c>
      <c r="E66" s="4" t="s">
        <v>58</v>
      </c>
      <c r="F66" s="4" t="s">
        <v>59</v>
      </c>
      <c r="G66" s="4" t="s">
        <v>60</v>
      </c>
      <c r="H66" s="5" t="n">
        <f>35.0</f>
        <v>35.0</v>
      </c>
    </row>
    <row r="67">
      <c r="A67" s="3" t="s">
        <v>79</v>
      </c>
      <c r="B67" s="4" t="s">
        <v>80</v>
      </c>
      <c r="C67" s="4" t="s">
        <v>81</v>
      </c>
      <c r="D67" s="3" t="n">
        <v>18.0</v>
      </c>
      <c r="E67" s="4" t="s">
        <v>64</v>
      </c>
      <c r="F67" s="4" t="s">
        <v>65</v>
      </c>
      <c r="G67" s="4" t="s">
        <v>66</v>
      </c>
      <c r="H67" s="5" t="n">
        <f>16.0</f>
        <v>16.0</v>
      </c>
    </row>
    <row r="68">
      <c r="A68" s="3" t="s">
        <v>82</v>
      </c>
      <c r="B68" s="4" t="s">
        <v>83</v>
      </c>
      <c r="C68" s="4" t="s">
        <v>84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14.0</f>
        <v>14.0</v>
      </c>
    </row>
    <row r="69">
      <c r="A69" s="3" t="s">
        <v>82</v>
      </c>
      <c r="B69" s="4" t="s">
        <v>85</v>
      </c>
      <c r="C69" s="4" t="s">
        <v>86</v>
      </c>
      <c r="D69" s="3" t="n">
        <v>1.0</v>
      </c>
      <c r="E69" s="4" t="s">
        <v>52</v>
      </c>
      <c r="F69" s="4" t="s">
        <v>53</v>
      </c>
      <c r="G69" s="4" t="s">
        <v>54</v>
      </c>
      <c r="H69" s="5" t="n">
        <f>17.0</f>
        <v>17.0</v>
      </c>
    </row>
    <row r="70">
      <c r="A70" s="3" t="s">
        <v>82</v>
      </c>
      <c r="B70" s="4" t="s">
        <v>85</v>
      </c>
      <c r="C70" s="4" t="s">
        <v>86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17.0</f>
        <v>17.0</v>
      </c>
    </row>
    <row r="71">
      <c r="A71" s="3" t="s">
        <v>82</v>
      </c>
      <c r="B71" s="4" t="s">
        <v>87</v>
      </c>
      <c r="C71" s="4" t="s">
        <v>88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10.0</f>
        <v>10.0</v>
      </c>
    </row>
    <row r="72">
      <c r="A72" s="3" t="s">
        <v>82</v>
      </c>
      <c r="B72" s="4" t="s">
        <v>87</v>
      </c>
      <c r="C72" s="4" t="s">
        <v>88</v>
      </c>
      <c r="D72" s="3" t="n">
        <v>2.0</v>
      </c>
      <c r="E72" s="4" t="s">
        <v>49</v>
      </c>
      <c r="F72" s="4" t="s">
        <v>50</v>
      </c>
      <c r="G72" s="4" t="s">
        <v>51</v>
      </c>
      <c r="H72" s="5" t="n">
        <f>2.0</f>
        <v>2.0</v>
      </c>
    </row>
    <row r="73">
      <c r="A73" s="3" t="s">
        <v>82</v>
      </c>
      <c r="B73" s="4" t="s">
        <v>89</v>
      </c>
      <c r="C73" s="4" t="s">
        <v>90</v>
      </c>
      <c r="D73" s="3" t="n">
        <v>1.0</v>
      </c>
      <c r="E73" s="4" t="s">
        <v>28</v>
      </c>
      <c r="F73" s="4" t="s">
        <v>29</v>
      </c>
      <c r="G73" s="4" t="s">
        <v>30</v>
      </c>
      <c r="H73" s="5" t="n">
        <f>2.0</f>
        <v>2.0</v>
      </c>
    </row>
    <row r="74">
      <c r="A74" s="3" t="s">
        <v>82</v>
      </c>
      <c r="B74" s="4" t="s">
        <v>91</v>
      </c>
      <c r="C74" s="4" t="s">
        <v>92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12.0</f>
        <v>12.0</v>
      </c>
    </row>
    <row r="75">
      <c r="A75" s="3" t="s">
        <v>82</v>
      </c>
      <c r="B75" s="4" t="s">
        <v>91</v>
      </c>
      <c r="C75" s="4" t="s">
        <v>92</v>
      </c>
      <c r="D75" s="3" t="n">
        <v>2.0</v>
      </c>
      <c r="E75" s="4" t="s">
        <v>49</v>
      </c>
      <c r="F75" s="4" t="s">
        <v>50</v>
      </c>
      <c r="G75" s="4" t="s">
        <v>51</v>
      </c>
      <c r="H75" s="5" t="n">
        <f>2.0</f>
        <v>2.0</v>
      </c>
    </row>
    <row r="76">
      <c r="A76" s="3" t="s">
        <v>82</v>
      </c>
      <c r="B76" s="4" t="s">
        <v>93</v>
      </c>
      <c r="C76" s="4" t="s">
        <v>94</v>
      </c>
      <c r="D76" s="3" t="n">
        <v>1.0</v>
      </c>
      <c r="E76" s="4" t="s">
        <v>46</v>
      </c>
      <c r="F76" s="4" t="s">
        <v>47</v>
      </c>
      <c r="G76" s="4" t="s">
        <v>48</v>
      </c>
      <c r="H76" s="5" t="n">
        <f>150.0</f>
        <v>150.0</v>
      </c>
    </row>
    <row r="77">
      <c r="A77" s="3" t="s">
        <v>82</v>
      </c>
      <c r="B77" s="4" t="s">
        <v>93</v>
      </c>
      <c r="C77" s="4" t="s">
        <v>94</v>
      </c>
      <c r="D77" s="3" t="n">
        <v>1.0</v>
      </c>
      <c r="E77" s="4" t="s">
        <v>43</v>
      </c>
      <c r="F77" s="4" t="s">
        <v>44</v>
      </c>
      <c r="G77" s="4" t="s">
        <v>45</v>
      </c>
      <c r="H77" s="5" t="n">
        <f>150.0</f>
        <v>150.0</v>
      </c>
    </row>
    <row r="78">
      <c r="A78" s="3" t="s">
        <v>82</v>
      </c>
      <c r="B78" s="4" t="s">
        <v>93</v>
      </c>
      <c r="C78" s="4" t="s">
        <v>94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150.0</f>
        <v>150.0</v>
      </c>
    </row>
    <row r="79">
      <c r="A79" s="3" t="s">
        <v>82</v>
      </c>
      <c r="B79" s="4" t="s">
        <v>93</v>
      </c>
      <c r="C79" s="4" t="s">
        <v>94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150.0</f>
        <v>150.0</v>
      </c>
    </row>
    <row r="80">
      <c r="A80" s="3" t="s">
        <v>82</v>
      </c>
      <c r="B80" s="4" t="s">
        <v>93</v>
      </c>
      <c r="C80" s="4" t="s">
        <v>94</v>
      </c>
      <c r="D80" s="3" t="n">
        <v>5.0</v>
      </c>
      <c r="E80" s="4" t="s">
        <v>28</v>
      </c>
      <c r="F80" s="4" t="s">
        <v>29</v>
      </c>
      <c r="G80" s="4" t="s">
        <v>30</v>
      </c>
      <c r="H80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