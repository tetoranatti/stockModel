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<sst xmlns="http://schemas.openxmlformats.org/spreadsheetml/2006/main" count="1234" uniqueCount="188">
  <si>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</si>
  <si>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</si>
  <si>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</si>
  <si>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</si>
  <si>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</si>
  <si>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</si>
  <si>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</si>
  <si>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</si>
  <si>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</si>
  <si>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20260421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</si>
  <si>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</si>
  <si>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</si>
  <si>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</si>
  <si>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</si>
  <si>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</si>
  <si>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</si>
  <si>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</si>
  <si>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</si>
  <si>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</si>
  <si>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</si>
  <si>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</si>
  <si>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</si>
  <si>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</si>
  <si>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</si>
  <si>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</si>
  <si>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</si>
  <si>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</si>
  <si>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</si>
  <si>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</si>
  <si>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</si>
  <si>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</si>
  <si>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</si>
  <si>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</si>
  <si>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</si>
  <si>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</si>
  <si>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</si>
  <si>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</si>
  <si>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</si>
  <si>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</si>
  <si>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</si>
  <si>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</si>
  <si>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</si>
  <si>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</si>
  <si>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</si>
  <si>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</si>
  <si>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</si>
  <si>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</si>
  <si>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</si>
  <si>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</si>
  <si>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12560</t>
  </si>
  <si>
    <t>松井証券</t>
  </si>
  <si>
    <t>MATSUI SECURITIES</t>
  </si>
  <si>
    <t>12336</t>
  </si>
  <si>
    <t>日産証券</t>
  </si>
  <si>
    <t>Nissan Securities</t>
  </si>
  <si>
    <t>11256</t>
  </si>
  <si>
    <t>ＳＢＩ証券</t>
  </si>
  <si>
    <t>SBI SECURITIES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</si>
  <si>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</si>
  <si>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</si>
  <si>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</si>
  <si>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</si>
  <si>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</si>
  <si>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</si>
  <si>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</si>
  <si>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</si>
  <si>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</si>
  <si>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</si>
  <si>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</si>
  <si>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</si>
  <si>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</si>
  <si>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</si>
  <si>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</si>
  <si>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161090018</t>
  </si>
  <si>
    <t>NIKKEI 225 FUT 2609</t>
  </si>
  <si>
    <t>11060</t>
  </si>
  <si>
    <t>三菱ＵＦＪｅスマート</t>
  </si>
  <si>
    <t>Mitsubishi UFJ eSmart Securities</t>
  </si>
  <si>
    <t>12057</t>
  </si>
  <si>
    <t>楽天証券</t>
  </si>
  <si>
    <t>Rakuten Securities</t>
  </si>
  <si>
    <t>11512</t>
  </si>
  <si>
    <t>光世証券</t>
  </si>
  <si>
    <t>The Kosei Securities</t>
  </si>
  <si>
    <t>12288</t>
  </si>
  <si>
    <t>フィリップ証券</t>
  </si>
  <si>
    <t>Phillip Securities Japan</t>
  </si>
  <si>
    <t>NK225MF</t>
  </si>
  <si>
    <t>161050019</t>
  </si>
  <si>
    <t>MINI NK225 FUT 2605</t>
  </si>
  <si>
    <t>12330</t>
  </si>
  <si>
    <t>マネックス証券</t>
  </si>
  <si>
    <t>Monex</t>
  </si>
  <si>
    <t>12328</t>
  </si>
  <si>
    <t>ＳＭＢＣ日興証券</t>
  </si>
  <si>
    <t>SMBC Nikko Securities</t>
  </si>
  <si>
    <t>11840</t>
  </si>
  <si>
    <t>立花証券</t>
  </si>
  <si>
    <t>THE TACHIBANA SECURITIES</t>
  </si>
  <si>
    <t>12896</t>
  </si>
  <si>
    <t>豊証券</t>
  </si>
  <si>
    <t>The Yutaka Securities</t>
  </si>
  <si>
    <t>11544</t>
  </si>
  <si>
    <t>岩井コスモ証券</t>
  </si>
  <si>
    <t>IwaiCosmo Securities</t>
  </si>
  <si>
    <t>161060019</t>
  </si>
  <si>
    <t>MINI NK225 FUT 2606</t>
  </si>
  <si>
    <t>12428</t>
  </si>
  <si>
    <t>ＢＮＰパリバ証券</t>
  </si>
  <si>
    <t>BNP Paribas Securities(Japan)Limited</t>
  </si>
  <si>
    <t>12464</t>
  </si>
  <si>
    <t>広田証券</t>
  </si>
  <si>
    <t>Hirota Securities</t>
  </si>
  <si>
    <t>161070019</t>
  </si>
  <si>
    <t>MINI NK225 FUT 2607</t>
  </si>
  <si>
    <t>TOPIXF</t>
  </si>
  <si>
    <t>161060005</t>
  </si>
  <si>
    <t>TOPIX FUT 2606</t>
  </si>
  <si>
    <t>NK225E</t>
  </si>
  <si>
    <t>131178518</t>
  </si>
  <si>
    <t>NIKKEI 225 OOP P2605-58500</t>
  </si>
  <si>
    <t>131178718</t>
  </si>
  <si>
    <t>NIKKEI 225 OOP P2605-58750</t>
  </si>
  <si>
    <t>181179018</t>
  </si>
  <si>
    <t>NIKKEI 225 OOP P2605-59000</t>
  </si>
  <si>
    <t>131179218</t>
  </si>
  <si>
    <t>NIKKEI 225 OOP P2605-59250</t>
  </si>
  <si>
    <t>131179518</t>
  </si>
  <si>
    <t>NIKKEI 225 OOP P2605-59500</t>
  </si>
  <si>
    <t>141170218</t>
  </si>
  <si>
    <t>NIKKEI 225 OOP C2605-60250</t>
  </si>
  <si>
    <t>191170018</t>
  </si>
  <si>
    <t>NIKKEI 225 OOP C2605-60000</t>
  </si>
  <si>
    <t>141179718</t>
  </si>
  <si>
    <t>NIKKEI 225 OOP C2605-59750</t>
  </si>
  <si>
    <t>141179518</t>
  </si>
  <si>
    <t>NIKKEI 225 OOP C2605-59500</t>
  </si>
  <si>
    <t>141059318</t>
  </si>
  <si>
    <t>NIKKEI 225 OOP C2605-59375</t>
  </si>
  <si>
    <t>141179218</t>
  </si>
  <si>
    <t>NIKKEI 225 OOP C2605-59250</t>
  </si>
  <si>
    <t>EQOP</t>
  </si>
  <si>
    <t>217151321</t>
  </si>
  <si>
    <t>1321 OOP P2605-61000</t>
  </si>
  <si>
    <t>317161321</t>
  </si>
  <si>
    <t>1321 OOP C2605-62000</t>
  </si>
  <si>
    <t>218168801</t>
  </si>
  <si>
    <t>8801 OOP P2606-1650</t>
  </si>
  <si>
    <t>12072</t>
  </si>
  <si>
    <t>東海東京証券</t>
  </si>
  <si>
    <t>Tokai Tokyo Securities</t>
  </si>
  <si>
    <t>218201321</t>
  </si>
  <si>
    <t>1321 OOP P2606-54000</t>
  </si>
  <si>
    <t>218241321</t>
  </si>
  <si>
    <t>1321 OOP P2606-58000</t>
  </si>
  <si>
    <t>217067011</t>
  </si>
  <si>
    <t>7011 OOP P2605-4300</t>
  </si>
  <si>
    <t>217037974</t>
  </si>
  <si>
    <t>7974 OOP P2605-8250</t>
  </si>
  <si>
    <t>218167011</t>
  </si>
  <si>
    <t>7011 OOP P2606-4200</t>
  </si>
  <si>
    <t>221208058</t>
  </si>
  <si>
    <t>8058 OOP P2609-4600</t>
  </si>
  <si>
    <t>318136503</t>
  </si>
  <si>
    <t>6503 OOP C2606-7000</t>
  </si>
  <si>
    <t>318247011</t>
  </si>
  <si>
    <t>7011 OOP C2606-5000</t>
  </si>
  <si>
    <t>217219984</t>
  </si>
  <si>
    <t>9984 OOP P2605-4700</t>
  </si>
  <si>
    <t>217116501</t>
  </si>
  <si>
    <t>6501 OOP P2605-4900</t>
  </si>
  <si>
    <t>318227203</t>
  </si>
  <si>
    <t>7203 OOP C2606-3500</t>
  </si>
  <si>
    <t>12240</t>
  </si>
  <si>
    <t>ムームー証券</t>
  </si>
  <si>
    <t>Moomoo Securities Japan</t>
  </si>
  <si>
    <t>217135803</t>
  </si>
  <si>
    <t>5803 OOP P2605-5000</t>
  </si>
  <si>
    <t>317466857</t>
  </si>
  <si>
    <t>6857 OOP C2605-29000</t>
  </si>
  <si>
    <t>217114063</t>
  </si>
  <si>
    <t>4063 OOP P2605-6500</t>
  </si>
  <si>
    <t>224094502</t>
  </si>
  <si>
    <t>4502 OOP P2612-5250</t>
  </si>
  <si>
    <t>318049984</t>
  </si>
  <si>
    <t>9984 OOP C2606-5000</t>
  </si>
  <si>
    <t>217145803</t>
  </si>
  <si>
    <t>5803 OOP P2605-5500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</si>
</sst>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8890.0</f>
        <v>8890.0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6999.0</f>
        <v>6999.0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3198.0</f>
        <v>3198.0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2008.0</f>
        <v>2008.0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1762.0</f>
        <v>1762.0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999.0</f>
        <v>999.0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987.0</f>
        <v>987.0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876.0</f>
        <v>876.0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797.0</f>
        <v>797.0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734.0</f>
        <v>734.0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711.0</f>
        <v>711.0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673.0</f>
        <v>673.0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610.0</f>
        <v>610.0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546.0</f>
        <v>546.0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466.0</f>
        <v>466.0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425.0</f>
        <v>425.0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373.0</f>
        <v>373.0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338.0</f>
        <v>338.0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335.0</f>
        <v>335.0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326.0</f>
        <v>326.0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70.0</f>
        <v>70.0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14.0</f>
        <v>14.0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49</v>
      </c>
      <c r="F31" s="4" t="s">
        <v>50</v>
      </c>
      <c r="G31" s="4" t="s">
        <v>51</v>
      </c>
      <c r="H31" s="5" t="n">
        <f>13.0</f>
        <v>13.0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55</v>
      </c>
      <c r="F32" s="4" t="s">
        <v>56</v>
      </c>
      <c r="G32" s="4" t="s">
        <v>57</v>
      </c>
      <c r="H32" s="5" t="n">
        <f>6.0</f>
        <v>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19</v>
      </c>
      <c r="F33" s="4" t="s">
        <v>20</v>
      </c>
      <c r="G33" s="4" t="s">
        <v>21</v>
      </c>
      <c r="H33" s="5" t="n">
        <f>5.0</f>
        <v>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3.0</f>
        <v>3.0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78</v>
      </c>
      <c r="F36" s="4" t="s">
        <v>79</v>
      </c>
      <c r="G36" s="4" t="s">
        <v>80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81</v>
      </c>
      <c r="F37" s="4" t="s">
        <v>82</v>
      </c>
      <c r="G37" s="4" t="s">
        <v>83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84</v>
      </c>
      <c r="F38" s="4" t="s">
        <v>85</v>
      </c>
      <c r="G38" s="4" t="s">
        <v>86</v>
      </c>
      <c r="H38" s="5" t="n">
        <f>1.0</f>
        <v>1.0</v>
      </c>
    </row>
    <row r="39">
      <c r="A39" s="3" t="s">
        <v>87</v>
      </c>
      <c r="B39" s="4" t="s">
        <v>88</v>
      </c>
      <c r="C39" s="4" t="s">
        <v>89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4919.0</f>
        <v>4919.0</v>
      </c>
    </row>
    <row r="40">
      <c r="A40" s="3" t="s">
        <v>87</v>
      </c>
      <c r="B40" s="4" t="s">
        <v>88</v>
      </c>
      <c r="C40" s="4" t="s">
        <v>89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4063.0</f>
        <v>4063.0</v>
      </c>
    </row>
    <row r="41">
      <c r="A41" s="3" t="s">
        <v>87</v>
      </c>
      <c r="B41" s="4" t="s">
        <v>88</v>
      </c>
      <c r="C41" s="4" t="s">
        <v>89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2749.0</f>
        <v>2749.0</v>
      </c>
    </row>
    <row r="42">
      <c r="A42" s="3" t="s">
        <v>87</v>
      </c>
      <c r="B42" s="4" t="s">
        <v>88</v>
      </c>
      <c r="C42" s="4" t="s">
        <v>89</v>
      </c>
      <c r="D42" s="3" t="n">
        <v>4.0</v>
      </c>
      <c r="E42" s="4" t="s">
        <v>55</v>
      </c>
      <c r="F42" s="4" t="s">
        <v>56</v>
      </c>
      <c r="G42" s="4" t="s">
        <v>57</v>
      </c>
      <c r="H42" s="5" t="n">
        <f>1215.0</f>
        <v>1215.0</v>
      </c>
    </row>
    <row r="43">
      <c r="A43" s="3" t="s">
        <v>87</v>
      </c>
      <c r="B43" s="4" t="s">
        <v>88</v>
      </c>
      <c r="C43" s="4" t="s">
        <v>89</v>
      </c>
      <c r="D43" s="3" t="n">
        <v>5.0</v>
      </c>
      <c r="E43" s="4" t="s">
        <v>75</v>
      </c>
      <c r="F43" s="4" t="s">
        <v>76</v>
      </c>
      <c r="G43" s="4" t="s">
        <v>77</v>
      </c>
      <c r="H43" s="5" t="n">
        <f>549.0</f>
        <v>549.0</v>
      </c>
    </row>
    <row r="44">
      <c r="A44" s="3" t="s">
        <v>87</v>
      </c>
      <c r="B44" s="4" t="s">
        <v>88</v>
      </c>
      <c r="C44" s="4" t="s">
        <v>89</v>
      </c>
      <c r="D44" s="3" t="n">
        <v>6.0</v>
      </c>
      <c r="E44" s="4" t="s">
        <v>67</v>
      </c>
      <c r="F44" s="4" t="s">
        <v>68</v>
      </c>
      <c r="G44" s="4" t="s">
        <v>69</v>
      </c>
      <c r="H44" s="5" t="n">
        <f>542.0</f>
        <v>542.0</v>
      </c>
    </row>
    <row r="45">
      <c r="A45" s="3" t="s">
        <v>87</v>
      </c>
      <c r="B45" s="4" t="s">
        <v>88</v>
      </c>
      <c r="C45" s="4" t="s">
        <v>89</v>
      </c>
      <c r="D45" s="3" t="n">
        <v>7.0</v>
      </c>
      <c r="E45" s="4" t="s">
        <v>78</v>
      </c>
      <c r="F45" s="4" t="s">
        <v>79</v>
      </c>
      <c r="G45" s="4" t="s">
        <v>80</v>
      </c>
      <c r="H45" s="5" t="n">
        <f>399.0</f>
        <v>399.0</v>
      </c>
    </row>
    <row r="46">
      <c r="A46" s="3" t="s">
        <v>87</v>
      </c>
      <c r="B46" s="4" t="s">
        <v>88</v>
      </c>
      <c r="C46" s="4" t="s">
        <v>89</v>
      </c>
      <c r="D46" s="3" t="n">
        <v>8.0</v>
      </c>
      <c r="E46" s="4" t="s">
        <v>90</v>
      </c>
      <c r="F46" s="4" t="s">
        <v>91</v>
      </c>
      <c r="G46" s="4" t="s">
        <v>92</v>
      </c>
      <c r="H46" s="5" t="n">
        <f>326.0</f>
        <v>326.0</v>
      </c>
    </row>
    <row r="47">
      <c r="A47" s="3" t="s">
        <v>87</v>
      </c>
      <c r="B47" s="4" t="s">
        <v>88</v>
      </c>
      <c r="C47" s="4" t="s">
        <v>89</v>
      </c>
      <c r="D47" s="3" t="n">
        <v>9.0</v>
      </c>
      <c r="E47" s="4" t="s">
        <v>49</v>
      </c>
      <c r="F47" s="4" t="s">
        <v>50</v>
      </c>
      <c r="G47" s="4" t="s">
        <v>51</v>
      </c>
      <c r="H47" s="5" t="n">
        <f>320.0</f>
        <v>320.0</v>
      </c>
    </row>
    <row r="48">
      <c r="A48" s="3" t="s">
        <v>87</v>
      </c>
      <c r="B48" s="4" t="s">
        <v>88</v>
      </c>
      <c r="C48" s="4" t="s">
        <v>89</v>
      </c>
      <c r="D48" s="3" t="n">
        <v>10.0</v>
      </c>
      <c r="E48" s="4" t="s">
        <v>84</v>
      </c>
      <c r="F48" s="4" t="s">
        <v>85</v>
      </c>
      <c r="G48" s="4" t="s">
        <v>86</v>
      </c>
      <c r="H48" s="5" t="n">
        <f>246.0</f>
        <v>246.0</v>
      </c>
    </row>
    <row r="49">
      <c r="A49" s="3" t="s">
        <v>87</v>
      </c>
      <c r="B49" s="4" t="s">
        <v>88</v>
      </c>
      <c r="C49" s="4" t="s">
        <v>89</v>
      </c>
      <c r="D49" s="3" t="n">
        <v>11.0</v>
      </c>
      <c r="E49" s="4" t="s">
        <v>37</v>
      </c>
      <c r="F49" s="4" t="s">
        <v>38</v>
      </c>
      <c r="G49" s="4" t="s">
        <v>39</v>
      </c>
      <c r="H49" s="5" t="n">
        <f>83.0</f>
        <v>83.0</v>
      </c>
    </row>
    <row r="50">
      <c r="A50" s="3" t="s">
        <v>87</v>
      </c>
      <c r="B50" s="4" t="s">
        <v>88</v>
      </c>
      <c r="C50" s="4" t="s">
        <v>89</v>
      </c>
      <c r="D50" s="3" t="n">
        <v>12.0</v>
      </c>
      <c r="E50" s="4" t="s">
        <v>52</v>
      </c>
      <c r="F50" s="4" t="s">
        <v>53</v>
      </c>
      <c r="G50" s="4" t="s">
        <v>54</v>
      </c>
      <c r="H50" s="5" t="n">
        <f>50.0</f>
        <v>50.0</v>
      </c>
    </row>
    <row r="51">
      <c r="A51" s="3" t="s">
        <v>87</v>
      </c>
      <c r="B51" s="4" t="s">
        <v>88</v>
      </c>
      <c r="C51" s="4" t="s">
        <v>89</v>
      </c>
      <c r="D51" s="3" t="n">
        <v>13.0</v>
      </c>
      <c r="E51" s="4" t="s">
        <v>70</v>
      </c>
      <c r="F51" s="4" t="s">
        <v>71</v>
      </c>
      <c r="G51" s="4" t="s">
        <v>72</v>
      </c>
      <c r="H51" s="5" t="n">
        <f>22.0</f>
        <v>22.0</v>
      </c>
    </row>
    <row r="52">
      <c r="A52" s="3" t="s">
        <v>87</v>
      </c>
      <c r="B52" s="4" t="s">
        <v>88</v>
      </c>
      <c r="C52" s="4" t="s">
        <v>89</v>
      </c>
      <c r="D52" s="3" t="n">
        <v>14.0</v>
      </c>
      <c r="E52" s="4" t="s">
        <v>93</v>
      </c>
      <c r="F52" s="4" t="s">
        <v>94</v>
      </c>
      <c r="G52" s="4" t="s">
        <v>95</v>
      </c>
      <c r="H52" s="5" t="n">
        <f>10.0</f>
        <v>10.0</v>
      </c>
    </row>
    <row r="53">
      <c r="A53" s="3" t="s">
        <v>87</v>
      </c>
      <c r="B53" s="4" t="s">
        <v>88</v>
      </c>
      <c r="C53" s="4" t="s">
        <v>89</v>
      </c>
      <c r="D53" s="3" t="n">
        <v>15.0</v>
      </c>
      <c r="E53" s="4" t="s">
        <v>22</v>
      </c>
      <c r="F53" s="4" t="s">
        <v>23</v>
      </c>
      <c r="G53" s="4" t="s">
        <v>24</v>
      </c>
      <c r="H53" s="5" t="n">
        <f>7.0</f>
        <v>7.0</v>
      </c>
    </row>
    <row r="54">
      <c r="A54" s="3" t="s">
        <v>87</v>
      </c>
      <c r="B54" s="4" t="s">
        <v>88</v>
      </c>
      <c r="C54" s="4" t="s">
        <v>89</v>
      </c>
      <c r="D54" s="3" t="n">
        <v>16.0</v>
      </c>
      <c r="E54" s="4" t="s">
        <v>96</v>
      </c>
      <c r="F54" s="4" t="s">
        <v>97</v>
      </c>
      <c r="G54" s="4" t="s">
        <v>98</v>
      </c>
      <c r="H54" s="5" t="n">
        <f>3.0</f>
        <v>3.0</v>
      </c>
    </row>
    <row r="55">
      <c r="A55" s="3" t="s">
        <v>87</v>
      </c>
      <c r="B55" s="4" t="s">
        <v>88</v>
      </c>
      <c r="C55" s="4" t="s">
        <v>89</v>
      </c>
      <c r="D55" s="3" t="n">
        <v>17.0</v>
      </c>
      <c r="E55" s="4" t="s">
        <v>99</v>
      </c>
      <c r="F55" s="4" t="s">
        <v>100</v>
      </c>
      <c r="G55" s="4" t="s">
        <v>101</v>
      </c>
      <c r="H55" s="5" t="n">
        <f>2.0</f>
        <v>2.0</v>
      </c>
    </row>
    <row r="56">
      <c r="A56" s="3" t="s">
        <v>87</v>
      </c>
      <c r="B56" s="4" t="s">
        <v>88</v>
      </c>
      <c r="C56" s="4" t="s">
        <v>89</v>
      </c>
      <c r="D56" s="3" t="n">
        <v>18.0</v>
      </c>
      <c r="E56" s="4" t="s">
        <v>102</v>
      </c>
      <c r="F56" s="4" t="s">
        <v>103</v>
      </c>
      <c r="G56" s="4" t="s">
        <v>104</v>
      </c>
      <c r="H56" s="5" t="n">
        <f>1.0</f>
        <v>1.0</v>
      </c>
    </row>
    <row r="57">
      <c r="A57" s="3" t="s">
        <v>87</v>
      </c>
      <c r="B57" s="4" t="s">
        <v>105</v>
      </c>
      <c r="C57" s="4" t="s">
        <v>106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108686.0</f>
        <v>108686.0</v>
      </c>
    </row>
    <row r="58">
      <c r="A58" s="3" t="s">
        <v>87</v>
      </c>
      <c r="B58" s="4" t="s">
        <v>105</v>
      </c>
      <c r="C58" s="4" t="s">
        <v>106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78832.0</f>
        <v>78832.0</v>
      </c>
    </row>
    <row r="59">
      <c r="A59" s="3" t="s">
        <v>87</v>
      </c>
      <c r="B59" s="4" t="s">
        <v>105</v>
      </c>
      <c r="C59" s="4" t="s">
        <v>106</v>
      </c>
      <c r="D59" s="3" t="n">
        <v>3.0</v>
      </c>
      <c r="E59" s="4" t="s">
        <v>19</v>
      </c>
      <c r="F59" s="4" t="s">
        <v>20</v>
      </c>
      <c r="G59" s="4" t="s">
        <v>21</v>
      </c>
      <c r="H59" s="5" t="n">
        <f>41099.0</f>
        <v>41099.0</v>
      </c>
    </row>
    <row r="60">
      <c r="A60" s="3" t="s">
        <v>87</v>
      </c>
      <c r="B60" s="4" t="s">
        <v>105</v>
      </c>
      <c r="C60" s="4" t="s">
        <v>106</v>
      </c>
      <c r="D60" s="3" t="n">
        <v>4.0</v>
      </c>
      <c r="E60" s="4" t="s">
        <v>55</v>
      </c>
      <c r="F60" s="4" t="s">
        <v>56</v>
      </c>
      <c r="G60" s="4" t="s">
        <v>57</v>
      </c>
      <c r="H60" s="5" t="n">
        <f>18307.0</f>
        <v>18307.0</v>
      </c>
    </row>
    <row r="61">
      <c r="A61" s="3" t="s">
        <v>87</v>
      </c>
      <c r="B61" s="4" t="s">
        <v>105</v>
      </c>
      <c r="C61" s="4" t="s">
        <v>106</v>
      </c>
      <c r="D61" s="3" t="n">
        <v>5.0</v>
      </c>
      <c r="E61" s="4" t="s">
        <v>49</v>
      </c>
      <c r="F61" s="4" t="s">
        <v>50</v>
      </c>
      <c r="G61" s="4" t="s">
        <v>51</v>
      </c>
      <c r="H61" s="5" t="n">
        <f>17580.0</f>
        <v>17580.0</v>
      </c>
    </row>
    <row r="62">
      <c r="A62" s="3" t="s">
        <v>87</v>
      </c>
      <c r="B62" s="4" t="s">
        <v>105</v>
      </c>
      <c r="C62" s="4" t="s">
        <v>106</v>
      </c>
      <c r="D62" s="3" t="n">
        <v>6.0</v>
      </c>
      <c r="E62" s="4" t="s">
        <v>78</v>
      </c>
      <c r="F62" s="4" t="s">
        <v>79</v>
      </c>
      <c r="G62" s="4" t="s">
        <v>80</v>
      </c>
      <c r="H62" s="5" t="n">
        <f>10848.0</f>
        <v>10848.0</v>
      </c>
    </row>
    <row r="63">
      <c r="A63" s="3" t="s">
        <v>87</v>
      </c>
      <c r="B63" s="4" t="s">
        <v>105</v>
      </c>
      <c r="C63" s="4" t="s">
        <v>106</v>
      </c>
      <c r="D63" s="3" t="n">
        <v>7.0</v>
      </c>
      <c r="E63" s="4" t="s">
        <v>52</v>
      </c>
      <c r="F63" s="4" t="s">
        <v>53</v>
      </c>
      <c r="G63" s="4" t="s">
        <v>54</v>
      </c>
      <c r="H63" s="5" t="n">
        <f>9422.0</f>
        <v>9422.0</v>
      </c>
    </row>
    <row r="64">
      <c r="A64" s="3" t="s">
        <v>87</v>
      </c>
      <c r="B64" s="4" t="s">
        <v>105</v>
      </c>
      <c r="C64" s="4" t="s">
        <v>106</v>
      </c>
      <c r="D64" s="3" t="n">
        <v>8.0</v>
      </c>
      <c r="E64" s="4" t="s">
        <v>25</v>
      </c>
      <c r="F64" s="4" t="s">
        <v>26</v>
      </c>
      <c r="G64" s="4" t="s">
        <v>27</v>
      </c>
      <c r="H64" s="5" t="n">
        <f>8095.0</f>
        <v>8095.0</v>
      </c>
    </row>
    <row r="65">
      <c r="A65" s="3" t="s">
        <v>87</v>
      </c>
      <c r="B65" s="4" t="s">
        <v>105</v>
      </c>
      <c r="C65" s="4" t="s">
        <v>106</v>
      </c>
      <c r="D65" s="3" t="n">
        <v>9.0</v>
      </c>
      <c r="E65" s="4" t="s">
        <v>37</v>
      </c>
      <c r="F65" s="4" t="s">
        <v>38</v>
      </c>
      <c r="G65" s="4" t="s">
        <v>39</v>
      </c>
      <c r="H65" s="5" t="n">
        <f>7378.0</f>
        <v>7378.0</v>
      </c>
    </row>
    <row r="66">
      <c r="A66" s="3" t="s">
        <v>87</v>
      </c>
      <c r="B66" s="4" t="s">
        <v>105</v>
      </c>
      <c r="C66" s="4" t="s">
        <v>106</v>
      </c>
      <c r="D66" s="3" t="n">
        <v>10.0</v>
      </c>
      <c r="E66" s="4" t="s">
        <v>75</v>
      </c>
      <c r="F66" s="4" t="s">
        <v>76</v>
      </c>
      <c r="G66" s="4" t="s">
        <v>77</v>
      </c>
      <c r="H66" s="5" t="n">
        <f>5860.0</f>
        <v>5860.0</v>
      </c>
    </row>
    <row r="67">
      <c r="A67" s="3" t="s">
        <v>87</v>
      </c>
      <c r="B67" s="4" t="s">
        <v>105</v>
      </c>
      <c r="C67" s="4" t="s">
        <v>106</v>
      </c>
      <c r="D67" s="3" t="n">
        <v>11.0</v>
      </c>
      <c r="E67" s="4" t="s">
        <v>31</v>
      </c>
      <c r="F67" s="4" t="s">
        <v>32</v>
      </c>
      <c r="G67" s="4" t="s">
        <v>33</v>
      </c>
      <c r="H67" s="5" t="n">
        <f>5121.0</f>
        <v>5121.0</v>
      </c>
    </row>
    <row r="68">
      <c r="A68" s="3" t="s">
        <v>87</v>
      </c>
      <c r="B68" s="4" t="s">
        <v>105</v>
      </c>
      <c r="C68" s="4" t="s">
        <v>106</v>
      </c>
      <c r="D68" s="3" t="n">
        <v>12.0</v>
      </c>
      <c r="E68" s="4" t="s">
        <v>34</v>
      </c>
      <c r="F68" s="4" t="s">
        <v>35</v>
      </c>
      <c r="G68" s="4" t="s">
        <v>36</v>
      </c>
      <c r="H68" s="5" t="n">
        <f>4498.0</f>
        <v>4498.0</v>
      </c>
    </row>
    <row r="69">
      <c r="A69" s="3" t="s">
        <v>87</v>
      </c>
      <c r="B69" s="4" t="s">
        <v>105</v>
      </c>
      <c r="C69" s="4" t="s">
        <v>106</v>
      </c>
      <c r="D69" s="3" t="n">
        <v>13.0</v>
      </c>
      <c r="E69" s="4" t="s">
        <v>107</v>
      </c>
      <c r="F69" s="4" t="s">
        <v>108</v>
      </c>
      <c r="G69" s="4" t="s">
        <v>109</v>
      </c>
      <c r="H69" s="5" t="n">
        <f>4325.0</f>
        <v>4325.0</v>
      </c>
    </row>
    <row r="70">
      <c r="A70" s="3" t="s">
        <v>87</v>
      </c>
      <c r="B70" s="4" t="s">
        <v>105</v>
      </c>
      <c r="C70" s="4" t="s">
        <v>106</v>
      </c>
      <c r="D70" s="3" t="n">
        <v>14.0</v>
      </c>
      <c r="E70" s="4" t="s">
        <v>22</v>
      </c>
      <c r="F70" s="4" t="s">
        <v>23</v>
      </c>
      <c r="G70" s="4" t="s">
        <v>24</v>
      </c>
      <c r="H70" s="5" t="n">
        <f>3700.0</f>
        <v>3700.0</v>
      </c>
    </row>
    <row r="71">
      <c r="A71" s="3" t="s">
        <v>87</v>
      </c>
      <c r="B71" s="4" t="s">
        <v>105</v>
      </c>
      <c r="C71" s="4" t="s">
        <v>106</v>
      </c>
      <c r="D71" s="3" t="n">
        <v>15.0</v>
      </c>
      <c r="E71" s="4" t="s">
        <v>90</v>
      </c>
      <c r="F71" s="4" t="s">
        <v>91</v>
      </c>
      <c r="G71" s="4" t="s">
        <v>92</v>
      </c>
      <c r="H71" s="5" t="n">
        <f>3381.0</f>
        <v>3381.0</v>
      </c>
    </row>
    <row r="72">
      <c r="A72" s="3" t="s">
        <v>87</v>
      </c>
      <c r="B72" s="4" t="s">
        <v>105</v>
      </c>
      <c r="C72" s="4" t="s">
        <v>106</v>
      </c>
      <c r="D72" s="3" t="n">
        <v>16.0</v>
      </c>
      <c r="E72" s="4" t="s">
        <v>110</v>
      </c>
      <c r="F72" s="4" t="s">
        <v>111</v>
      </c>
      <c r="G72" s="4" t="s">
        <v>112</v>
      </c>
      <c r="H72" s="5" t="n">
        <f>2575.0</f>
        <v>2575.0</v>
      </c>
    </row>
    <row r="73">
      <c r="A73" s="3" t="s">
        <v>87</v>
      </c>
      <c r="B73" s="4" t="s">
        <v>105</v>
      </c>
      <c r="C73" s="4" t="s">
        <v>106</v>
      </c>
      <c r="D73" s="3" t="n">
        <v>17.0</v>
      </c>
      <c r="E73" s="4" t="s">
        <v>28</v>
      </c>
      <c r="F73" s="4" t="s">
        <v>29</v>
      </c>
      <c r="G73" s="4" t="s">
        <v>30</v>
      </c>
      <c r="H73" s="5" t="n">
        <f>2182.0</f>
        <v>2182.0</v>
      </c>
    </row>
    <row r="74">
      <c r="A74" s="3" t="s">
        <v>87</v>
      </c>
      <c r="B74" s="4" t="s">
        <v>105</v>
      </c>
      <c r="C74" s="4" t="s">
        <v>106</v>
      </c>
      <c r="D74" s="3" t="n">
        <v>18.0</v>
      </c>
      <c r="E74" s="4" t="s">
        <v>40</v>
      </c>
      <c r="F74" s="4" t="s">
        <v>41</v>
      </c>
      <c r="G74" s="4" t="s">
        <v>42</v>
      </c>
      <c r="H74" s="5" t="n">
        <f>2009.0</f>
        <v>2009.0</v>
      </c>
    </row>
    <row r="75">
      <c r="A75" s="3" t="s">
        <v>87</v>
      </c>
      <c r="B75" s="4" t="s">
        <v>105</v>
      </c>
      <c r="C75" s="4" t="s">
        <v>106</v>
      </c>
      <c r="D75" s="3" t="n">
        <v>19.0</v>
      </c>
      <c r="E75" s="4" t="s">
        <v>64</v>
      </c>
      <c r="F75" s="4" t="s">
        <v>65</v>
      </c>
      <c r="G75" s="4" t="s">
        <v>66</v>
      </c>
      <c r="H75" s="5" t="n">
        <f>1626.0</f>
        <v>1626.0</v>
      </c>
    </row>
    <row r="76">
      <c r="A76" s="3" t="s">
        <v>87</v>
      </c>
      <c r="B76" s="4" t="s">
        <v>105</v>
      </c>
      <c r="C76" s="4" t="s">
        <v>106</v>
      </c>
      <c r="D76" s="3" t="n">
        <v>20.0</v>
      </c>
      <c r="E76" s="4" t="s">
        <v>67</v>
      </c>
      <c r="F76" s="4" t="s">
        <v>68</v>
      </c>
      <c r="G76" s="4" t="s">
        <v>69</v>
      </c>
      <c r="H76" s="5" t="n">
        <f>1290.0</f>
        <v>1290.0</v>
      </c>
    </row>
    <row r="77">
      <c r="A77" s="3" t="s">
        <v>87</v>
      </c>
      <c r="B77" s="4" t="s">
        <v>113</v>
      </c>
      <c r="C77" s="4" t="s">
        <v>114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80.0</f>
        <v>80.0</v>
      </c>
    </row>
    <row r="78">
      <c r="A78" s="3" t="s">
        <v>87</v>
      </c>
      <c r="B78" s="4" t="s">
        <v>113</v>
      </c>
      <c r="C78" s="4" t="s">
        <v>114</v>
      </c>
      <c r="D78" s="3" t="n">
        <v>2.0</v>
      </c>
      <c r="E78" s="4" t="s">
        <v>13</v>
      </c>
      <c r="F78" s="4" t="s">
        <v>14</v>
      </c>
      <c r="G78" s="4" t="s">
        <v>15</v>
      </c>
      <c r="H78" s="5" t="n">
        <f>74.0</f>
        <v>74.0</v>
      </c>
    </row>
    <row r="79">
      <c r="A79" s="3" t="s">
        <v>87</v>
      </c>
      <c r="B79" s="4" t="s">
        <v>113</v>
      </c>
      <c r="C79" s="4" t="s">
        <v>114</v>
      </c>
      <c r="D79" s="3" t="n">
        <v>3.0</v>
      </c>
      <c r="E79" s="4" t="s">
        <v>84</v>
      </c>
      <c r="F79" s="4" t="s">
        <v>85</v>
      </c>
      <c r="G79" s="4" t="s">
        <v>86</v>
      </c>
      <c r="H79" s="5" t="n">
        <f>46.0</f>
        <v>46.0</v>
      </c>
    </row>
    <row r="80">
      <c r="A80" s="3" t="s">
        <v>87</v>
      </c>
      <c r="B80" s="4" t="s">
        <v>113</v>
      </c>
      <c r="C80" s="4" t="s">
        <v>114</v>
      </c>
      <c r="D80" s="3" t="n">
        <v>4.0</v>
      </c>
      <c r="E80" s="4" t="s">
        <v>99</v>
      </c>
      <c r="F80" s="4" t="s">
        <v>100</v>
      </c>
      <c r="G80" s="4" t="s">
        <v>101</v>
      </c>
      <c r="H80" s="5" t="n">
        <f>35.0</f>
        <v>35.0</v>
      </c>
    </row>
    <row r="81">
      <c r="A81" s="3" t="s">
        <v>87</v>
      </c>
      <c r="B81" s="4" t="s">
        <v>113</v>
      </c>
      <c r="C81" s="4" t="s">
        <v>114</v>
      </c>
      <c r="D81" s="3" t="n">
        <v>5.0</v>
      </c>
      <c r="E81" s="4" t="s">
        <v>49</v>
      </c>
      <c r="F81" s="4" t="s">
        <v>50</v>
      </c>
      <c r="G81" s="4" t="s">
        <v>51</v>
      </c>
      <c r="H81" s="5" t="n">
        <f>16.0</f>
        <v>16.0</v>
      </c>
    </row>
    <row r="82">
      <c r="A82" s="3" t="s">
        <v>87</v>
      </c>
      <c r="B82" s="4" t="s">
        <v>113</v>
      </c>
      <c r="C82" s="4" t="s">
        <v>114</v>
      </c>
      <c r="D82" s="3" t="n">
        <v>6.0</v>
      </c>
      <c r="E82" s="4" t="s">
        <v>55</v>
      </c>
      <c r="F82" s="4" t="s">
        <v>56</v>
      </c>
      <c r="G82" s="4" t="s">
        <v>57</v>
      </c>
      <c r="H82" s="5" t="n">
        <f>8.0</f>
        <v>8.0</v>
      </c>
    </row>
    <row r="83">
      <c r="A83" s="3" t="s">
        <v>87</v>
      </c>
      <c r="B83" s="4" t="s">
        <v>113</v>
      </c>
      <c r="C83" s="4" t="s">
        <v>114</v>
      </c>
      <c r="D83" s="3" t="n">
        <v>7.0</v>
      </c>
      <c r="E83" s="4" t="s">
        <v>78</v>
      </c>
      <c r="F83" s="4" t="s">
        <v>79</v>
      </c>
      <c r="G83" s="4" t="s">
        <v>80</v>
      </c>
      <c r="H83" s="5" t="n">
        <f>6.0</f>
        <v>6.0</v>
      </c>
    </row>
    <row r="84">
      <c r="A84" s="3" t="s">
        <v>87</v>
      </c>
      <c r="B84" s="4" t="s">
        <v>113</v>
      </c>
      <c r="C84" s="4" t="s">
        <v>114</v>
      </c>
      <c r="D84" s="3" t="n">
        <v>8.0</v>
      </c>
      <c r="E84" s="4" t="s">
        <v>75</v>
      </c>
      <c r="F84" s="4" t="s">
        <v>76</v>
      </c>
      <c r="G84" s="4" t="s">
        <v>77</v>
      </c>
      <c r="H84" s="5" t="n">
        <f>5.0</f>
        <v>5.0</v>
      </c>
    </row>
    <row r="85">
      <c r="A85" s="3" t="s">
        <v>87</v>
      </c>
      <c r="B85" s="4" t="s">
        <v>113</v>
      </c>
      <c r="C85" s="4" t="s">
        <v>114</v>
      </c>
      <c r="D85" s="3" t="n">
        <v>9.0</v>
      </c>
      <c r="E85" s="4" t="s">
        <v>37</v>
      </c>
      <c r="F85" s="4" t="s">
        <v>38</v>
      </c>
      <c r="G85" s="4" t="s">
        <v>39</v>
      </c>
      <c r="H85" s="5" t="n">
        <f>4.0</f>
        <v>4.0</v>
      </c>
    </row>
    <row r="86">
      <c r="A86" s="3" t="s">
        <v>87</v>
      </c>
      <c r="B86" s="4" t="s">
        <v>113</v>
      </c>
      <c r="C86" s="4" t="s">
        <v>114</v>
      </c>
      <c r="D86" s="3" t="n">
        <v>9.0</v>
      </c>
      <c r="E86" s="4" t="s">
        <v>70</v>
      </c>
      <c r="F86" s="4" t="s">
        <v>71</v>
      </c>
      <c r="G86" s="4" t="s">
        <v>72</v>
      </c>
      <c r="H86" s="5" t="n">
        <f>4.0</f>
        <v>4.0</v>
      </c>
    </row>
    <row r="87">
      <c r="A87" s="3" t="s">
        <v>87</v>
      </c>
      <c r="B87" s="4" t="s">
        <v>113</v>
      </c>
      <c r="C87" s="4" t="s">
        <v>114</v>
      </c>
      <c r="D87" s="3" t="n">
        <v>11.0</v>
      </c>
      <c r="E87" s="4" t="s">
        <v>90</v>
      </c>
      <c r="F87" s="4" t="s">
        <v>91</v>
      </c>
      <c r="G87" s="4" t="s">
        <v>92</v>
      </c>
      <c r="H87" s="5" t="n">
        <f>2.0</f>
        <v>2.0</v>
      </c>
    </row>
    <row r="88">
      <c r="A88" s="3" t="s">
        <v>115</v>
      </c>
      <c r="B88" s="4" t="s">
        <v>116</v>
      </c>
      <c r="C88" s="4" t="s">
        <v>117</v>
      </c>
      <c r="D88" s="3" t="n">
        <v>1.0</v>
      </c>
      <c r="E88" s="4" t="s">
        <v>16</v>
      </c>
      <c r="F88" s="4" t="s">
        <v>17</v>
      </c>
      <c r="G88" s="4" t="s">
        <v>18</v>
      </c>
      <c r="H88" s="5" t="n">
        <f>13352.0</f>
        <v>13352.0</v>
      </c>
    </row>
    <row r="89">
      <c r="A89" s="3" t="s">
        <v>115</v>
      </c>
      <c r="B89" s="4" t="s">
        <v>116</v>
      </c>
      <c r="C89" s="4" t="s">
        <v>117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9696.0</f>
        <v>9696.0</v>
      </c>
    </row>
    <row r="90">
      <c r="A90" s="3" t="s">
        <v>115</v>
      </c>
      <c r="B90" s="4" t="s">
        <v>116</v>
      </c>
      <c r="C90" s="4" t="s">
        <v>117</v>
      </c>
      <c r="D90" s="3" t="n">
        <v>3.0</v>
      </c>
      <c r="E90" s="4" t="s">
        <v>19</v>
      </c>
      <c r="F90" s="4" t="s">
        <v>20</v>
      </c>
      <c r="G90" s="4" t="s">
        <v>21</v>
      </c>
      <c r="H90" s="5" t="n">
        <f>8785.0</f>
        <v>8785.0</v>
      </c>
    </row>
    <row r="91">
      <c r="A91" s="3" t="s">
        <v>115</v>
      </c>
      <c r="B91" s="4" t="s">
        <v>116</v>
      </c>
      <c r="C91" s="4" t="s">
        <v>117</v>
      </c>
      <c r="D91" s="3" t="n">
        <v>4.0</v>
      </c>
      <c r="E91" s="4" t="s">
        <v>37</v>
      </c>
      <c r="F91" s="4" t="s">
        <v>38</v>
      </c>
      <c r="G91" s="4" t="s">
        <v>39</v>
      </c>
      <c r="H91" s="5" t="n">
        <f>5644.0</f>
        <v>5644.0</v>
      </c>
    </row>
    <row r="92">
      <c r="A92" s="3" t="s">
        <v>115</v>
      </c>
      <c r="B92" s="4" t="s">
        <v>116</v>
      </c>
      <c r="C92" s="4" t="s">
        <v>117</v>
      </c>
      <c r="D92" s="3" t="n">
        <v>5.0</v>
      </c>
      <c r="E92" s="4" t="s">
        <v>22</v>
      </c>
      <c r="F92" s="4" t="s">
        <v>23</v>
      </c>
      <c r="G92" s="4" t="s">
        <v>24</v>
      </c>
      <c r="H92" s="5" t="n">
        <f>3264.0</f>
        <v>3264.0</v>
      </c>
    </row>
    <row r="93">
      <c r="A93" s="3" t="s">
        <v>115</v>
      </c>
      <c r="B93" s="4" t="s">
        <v>116</v>
      </c>
      <c r="C93" s="4" t="s">
        <v>117</v>
      </c>
      <c r="D93" s="3" t="n">
        <v>6.0</v>
      </c>
      <c r="E93" s="4" t="s">
        <v>31</v>
      </c>
      <c r="F93" s="4" t="s">
        <v>32</v>
      </c>
      <c r="G93" s="4" t="s">
        <v>33</v>
      </c>
      <c r="H93" s="5" t="n">
        <f>2446.0</f>
        <v>2446.0</v>
      </c>
    </row>
    <row r="94">
      <c r="A94" s="3" t="s">
        <v>115</v>
      </c>
      <c r="B94" s="4" t="s">
        <v>116</v>
      </c>
      <c r="C94" s="4" t="s">
        <v>117</v>
      </c>
      <c r="D94" s="3" t="n">
        <v>7.0</v>
      </c>
      <c r="E94" s="4" t="s">
        <v>34</v>
      </c>
      <c r="F94" s="4" t="s">
        <v>35</v>
      </c>
      <c r="G94" s="4" t="s">
        <v>36</v>
      </c>
      <c r="H94" s="5" t="n">
        <f>2301.0</f>
        <v>2301.0</v>
      </c>
    </row>
    <row r="95">
      <c r="A95" s="3" t="s">
        <v>115</v>
      </c>
      <c r="B95" s="4" t="s">
        <v>116</v>
      </c>
      <c r="C95" s="4" t="s">
        <v>117</v>
      </c>
      <c r="D95" s="3" t="n">
        <v>8.0</v>
      </c>
      <c r="E95" s="4" t="s">
        <v>40</v>
      </c>
      <c r="F95" s="4" t="s">
        <v>41</v>
      </c>
      <c r="G95" s="4" t="s">
        <v>42</v>
      </c>
      <c r="H95" s="5" t="n">
        <f>1926.0</f>
        <v>1926.0</v>
      </c>
    </row>
    <row r="96">
      <c r="A96" s="3" t="s">
        <v>115</v>
      </c>
      <c r="B96" s="4" t="s">
        <v>116</v>
      </c>
      <c r="C96" s="4" t="s">
        <v>117</v>
      </c>
      <c r="D96" s="3" t="n">
        <v>9.0</v>
      </c>
      <c r="E96" s="4" t="s">
        <v>43</v>
      </c>
      <c r="F96" s="4" t="s">
        <v>44</v>
      </c>
      <c r="G96" s="4" t="s">
        <v>45</v>
      </c>
      <c r="H96" s="5" t="n">
        <f>1735.0</f>
        <v>1735.0</v>
      </c>
    </row>
    <row r="97">
      <c r="A97" s="3" t="s">
        <v>115</v>
      </c>
      <c r="B97" s="4" t="s">
        <v>116</v>
      </c>
      <c r="C97" s="4" t="s">
        <v>117</v>
      </c>
      <c r="D97" s="3" t="n">
        <v>10.0</v>
      </c>
      <c r="E97" s="4" t="s">
        <v>25</v>
      </c>
      <c r="F97" s="4" t="s">
        <v>26</v>
      </c>
      <c r="G97" s="4" t="s">
        <v>27</v>
      </c>
      <c r="H97" s="5" t="n">
        <f>1662.0</f>
        <v>1662.0</v>
      </c>
    </row>
    <row r="98">
      <c r="A98" s="3" t="s">
        <v>115</v>
      </c>
      <c r="B98" s="4" t="s">
        <v>116</v>
      </c>
      <c r="C98" s="4" t="s">
        <v>117</v>
      </c>
      <c r="D98" s="3" t="n">
        <v>11.0</v>
      </c>
      <c r="E98" s="4" t="s">
        <v>107</v>
      </c>
      <c r="F98" s="4" t="s">
        <v>108</v>
      </c>
      <c r="G98" s="4" t="s">
        <v>109</v>
      </c>
      <c r="H98" s="5" t="n">
        <f>703.0</f>
        <v>703.0</v>
      </c>
    </row>
    <row r="99">
      <c r="A99" s="3" t="s">
        <v>115</v>
      </c>
      <c r="B99" s="4" t="s">
        <v>116</v>
      </c>
      <c r="C99" s="4" t="s">
        <v>117</v>
      </c>
      <c r="D99" s="3" t="n">
        <v>12.0</v>
      </c>
      <c r="E99" s="4" t="s">
        <v>61</v>
      </c>
      <c r="F99" s="4" t="s">
        <v>62</v>
      </c>
      <c r="G99" s="4" t="s">
        <v>63</v>
      </c>
      <c r="H99" s="5" t="n">
        <f>599.0</f>
        <v>599.0</v>
      </c>
    </row>
    <row r="100">
      <c r="A100" s="3" t="s">
        <v>115</v>
      </c>
      <c r="B100" s="4" t="s">
        <v>116</v>
      </c>
      <c r="C100" s="4" t="s">
        <v>117</v>
      </c>
      <c r="D100" s="3" t="n">
        <v>13.0</v>
      </c>
      <c r="E100" s="4" t="s">
        <v>52</v>
      </c>
      <c r="F100" s="4" t="s">
        <v>53</v>
      </c>
      <c r="G100" s="4" t="s">
        <v>54</v>
      </c>
      <c r="H100" s="5" t="n">
        <f>519.0</f>
        <v>519.0</v>
      </c>
    </row>
    <row r="101">
      <c r="A101" s="3" t="s">
        <v>115</v>
      </c>
      <c r="B101" s="4" t="s">
        <v>116</v>
      </c>
      <c r="C101" s="4" t="s">
        <v>117</v>
      </c>
      <c r="D101" s="3" t="n">
        <v>14.0</v>
      </c>
      <c r="E101" s="4" t="s">
        <v>28</v>
      </c>
      <c r="F101" s="4" t="s">
        <v>29</v>
      </c>
      <c r="G101" s="4" t="s">
        <v>30</v>
      </c>
      <c r="H101" s="5" t="n">
        <f>395.0</f>
        <v>395.0</v>
      </c>
    </row>
    <row r="102">
      <c r="A102" s="3" t="s">
        <v>115</v>
      </c>
      <c r="B102" s="4" t="s">
        <v>116</v>
      </c>
      <c r="C102" s="4" t="s">
        <v>117</v>
      </c>
      <c r="D102" s="3" t="n">
        <v>15.0</v>
      </c>
      <c r="E102" s="4" t="s">
        <v>64</v>
      </c>
      <c r="F102" s="4" t="s">
        <v>65</v>
      </c>
      <c r="G102" s="4" t="s">
        <v>66</v>
      </c>
      <c r="H102" s="5" t="n">
        <f>392.0</f>
        <v>392.0</v>
      </c>
    </row>
    <row r="103">
      <c r="A103" s="3" t="s">
        <v>115</v>
      </c>
      <c r="B103" s="4" t="s">
        <v>116</v>
      </c>
      <c r="C103" s="4" t="s">
        <v>117</v>
      </c>
      <c r="D103" s="3" t="n">
        <v>16.0</v>
      </c>
      <c r="E103" s="4" t="s">
        <v>93</v>
      </c>
      <c r="F103" s="4" t="s">
        <v>94</v>
      </c>
      <c r="G103" s="4" t="s">
        <v>95</v>
      </c>
      <c r="H103" s="5" t="n">
        <f>391.0</f>
        <v>391.0</v>
      </c>
    </row>
    <row r="104">
      <c r="A104" s="3" t="s">
        <v>115</v>
      </c>
      <c r="B104" s="4" t="s">
        <v>116</v>
      </c>
      <c r="C104" s="4" t="s">
        <v>117</v>
      </c>
      <c r="D104" s="3" t="n">
        <v>17.0</v>
      </c>
      <c r="E104" s="4" t="s">
        <v>110</v>
      </c>
      <c r="F104" s="4" t="s">
        <v>111</v>
      </c>
      <c r="G104" s="4" t="s">
        <v>112</v>
      </c>
      <c r="H104" s="5" t="n">
        <f>367.0</f>
        <v>367.0</v>
      </c>
    </row>
    <row r="105">
      <c r="A105" s="3" t="s">
        <v>115</v>
      </c>
      <c r="B105" s="4" t="s">
        <v>116</v>
      </c>
      <c r="C105" s="4" t="s">
        <v>117</v>
      </c>
      <c r="D105" s="3" t="n">
        <v>18.0</v>
      </c>
      <c r="E105" s="4" t="s">
        <v>70</v>
      </c>
      <c r="F105" s="4" t="s">
        <v>71</v>
      </c>
      <c r="G105" s="4" t="s">
        <v>72</v>
      </c>
      <c r="H105" s="5" t="n">
        <f>362.0</f>
        <v>362.0</v>
      </c>
    </row>
    <row r="106">
      <c r="A106" s="3" t="s">
        <v>115</v>
      </c>
      <c r="B106" s="4" t="s">
        <v>116</v>
      </c>
      <c r="C106" s="4" t="s">
        <v>117</v>
      </c>
      <c r="D106" s="3" t="n">
        <v>19.0</v>
      </c>
      <c r="E106" s="4" t="s">
        <v>55</v>
      </c>
      <c r="F106" s="4" t="s">
        <v>56</v>
      </c>
      <c r="G106" s="4" t="s">
        <v>57</v>
      </c>
      <c r="H106" s="5" t="n">
        <f>236.0</f>
        <v>236.0</v>
      </c>
    </row>
    <row r="107">
      <c r="A107" s="3" t="s">
        <v>115</v>
      </c>
      <c r="B107" s="4" t="s">
        <v>116</v>
      </c>
      <c r="C107" s="4" t="s">
        <v>117</v>
      </c>
      <c r="D107" s="3" t="n">
        <v>20.0</v>
      </c>
      <c r="E107" s="4" t="s">
        <v>58</v>
      </c>
      <c r="F107" s="4" t="s">
        <v>59</v>
      </c>
      <c r="G107" s="4" t="s">
        <v>60</v>
      </c>
      <c r="H107" s="5" t="n">
        <f>176.0</f>
        <v>176.0</v>
      </c>
    </row>
    <row r="108">
      <c r="A108" s="3" t="s">
        <v>118</v>
      </c>
      <c r="B108" s="4" t="s">
        <v>119</v>
      </c>
      <c r="C108" s="4" t="s">
        <v>120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28.0</f>
        <v>28.0</v>
      </c>
    </row>
    <row r="109">
      <c r="A109" s="3" t="s">
        <v>118</v>
      </c>
      <c r="B109" s="4" t="s">
        <v>119</v>
      </c>
      <c r="C109" s="4" t="s">
        <v>120</v>
      </c>
      <c r="D109" s="3" t="n">
        <v>2.0</v>
      </c>
      <c r="E109" s="4" t="s">
        <v>16</v>
      </c>
      <c r="F109" s="4" t="s">
        <v>17</v>
      </c>
      <c r="G109" s="4" t="s">
        <v>18</v>
      </c>
      <c r="H109" s="5" t="n">
        <f>10.0</f>
        <v>10.0</v>
      </c>
    </row>
    <row r="110">
      <c r="A110" s="3" t="s">
        <v>118</v>
      </c>
      <c r="B110" s="4" t="s">
        <v>119</v>
      </c>
      <c r="C110" s="4" t="s">
        <v>120</v>
      </c>
      <c r="D110" s="3" t="n">
        <v>3.0</v>
      </c>
      <c r="E110" s="4" t="s">
        <v>49</v>
      </c>
      <c r="F110" s="4" t="s">
        <v>50</v>
      </c>
      <c r="G110" s="4" t="s">
        <v>51</v>
      </c>
      <c r="H110" s="5" t="n">
        <f>7.0</f>
        <v>7.0</v>
      </c>
    </row>
    <row r="111">
      <c r="A111" s="3" t="s">
        <v>118</v>
      </c>
      <c r="B111" s="4" t="s">
        <v>119</v>
      </c>
      <c r="C111" s="4" t="s">
        <v>120</v>
      </c>
      <c r="D111" s="3" t="n">
        <v>4.0</v>
      </c>
      <c r="E111" s="4" t="s">
        <v>34</v>
      </c>
      <c r="F111" s="4" t="s">
        <v>35</v>
      </c>
      <c r="G111" s="4" t="s">
        <v>36</v>
      </c>
      <c r="H111" s="5" t="n">
        <f>5.0</f>
        <v>5.0</v>
      </c>
    </row>
    <row r="112">
      <c r="A112" s="3" t="s">
        <v>118</v>
      </c>
      <c r="B112" s="4" t="s">
        <v>119</v>
      </c>
      <c r="C112" s="4" t="s">
        <v>120</v>
      </c>
      <c r="D112" s="3" t="n">
        <v>5.0</v>
      </c>
      <c r="E112" s="4" t="s">
        <v>107</v>
      </c>
      <c r="F112" s="4" t="s">
        <v>108</v>
      </c>
      <c r="G112" s="4" t="s">
        <v>109</v>
      </c>
      <c r="H112" s="5" t="n">
        <f>3.0</f>
        <v>3.0</v>
      </c>
    </row>
    <row r="113">
      <c r="A113" s="3" t="s">
        <v>118</v>
      </c>
      <c r="B113" s="4" t="s">
        <v>119</v>
      </c>
      <c r="C113" s="4" t="s">
        <v>120</v>
      </c>
      <c r="D113" s="3" t="n">
        <v>6.0</v>
      </c>
      <c r="E113" s="4" t="s">
        <v>78</v>
      </c>
      <c r="F113" s="4" t="s">
        <v>79</v>
      </c>
      <c r="G113" s="4" t="s">
        <v>80</v>
      </c>
      <c r="H113" s="5" t="n">
        <f>2.0</f>
        <v>2.0</v>
      </c>
    </row>
    <row r="114">
      <c r="A114" s="3" t="s">
        <v>118</v>
      </c>
      <c r="B114" s="4" t="s">
        <v>119</v>
      </c>
      <c r="C114" s="4" t="s">
        <v>120</v>
      </c>
      <c r="D114" s="3" t="n">
        <v>7.0</v>
      </c>
      <c r="E114" s="4" t="s">
        <v>55</v>
      </c>
      <c r="F114" s="4" t="s">
        <v>56</v>
      </c>
      <c r="G114" s="4" t="s">
        <v>57</v>
      </c>
      <c r="H114" s="5" t="n">
        <f>1.0</f>
        <v>1.0</v>
      </c>
    </row>
    <row r="115">
      <c r="A115" s="3" t="s">
        <v>118</v>
      </c>
      <c r="B115" s="4" t="s">
        <v>121</v>
      </c>
      <c r="C115" s="4" t="s">
        <v>122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13.0</f>
        <v>13.0</v>
      </c>
    </row>
    <row r="116">
      <c r="A116" s="3" t="s">
        <v>118</v>
      </c>
      <c r="B116" s="4" t="s">
        <v>121</v>
      </c>
      <c r="C116" s="4" t="s">
        <v>122</v>
      </c>
      <c r="D116" s="3" t="n">
        <v>2.0</v>
      </c>
      <c r="E116" s="4" t="s">
        <v>37</v>
      </c>
      <c r="F116" s="4" t="s">
        <v>38</v>
      </c>
      <c r="G116" s="4" t="s">
        <v>39</v>
      </c>
      <c r="H116" s="5" t="n">
        <f>6.0</f>
        <v>6.0</v>
      </c>
    </row>
    <row r="117">
      <c r="A117" s="3" t="s">
        <v>118</v>
      </c>
      <c r="B117" s="4" t="s">
        <v>121</v>
      </c>
      <c r="C117" s="4" t="s">
        <v>122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2.0</f>
        <v>2.0</v>
      </c>
    </row>
    <row r="118">
      <c r="A118" s="3" t="s">
        <v>118</v>
      </c>
      <c r="B118" s="4" t="s">
        <v>121</v>
      </c>
      <c r="C118" s="4" t="s">
        <v>122</v>
      </c>
      <c r="D118" s="3" t="n">
        <v>4.0</v>
      </c>
      <c r="E118" s="4" t="s">
        <v>102</v>
      </c>
      <c r="F118" s="4" t="s">
        <v>103</v>
      </c>
      <c r="G118" s="4" t="s">
        <v>104</v>
      </c>
      <c r="H118" s="5" t="n">
        <f>1.0</f>
        <v>1.0</v>
      </c>
    </row>
    <row r="119">
      <c r="A119" s="3" t="s">
        <v>118</v>
      </c>
      <c r="B119" s="4" t="s">
        <v>123</v>
      </c>
      <c r="C119" s="4" t="s">
        <v>124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62.0</f>
        <v>62.0</v>
      </c>
    </row>
    <row r="120">
      <c r="A120" s="3" t="s">
        <v>118</v>
      </c>
      <c r="B120" s="4" t="s">
        <v>123</v>
      </c>
      <c r="C120" s="4" t="s">
        <v>124</v>
      </c>
      <c r="D120" s="3" t="n">
        <v>2.0</v>
      </c>
      <c r="E120" s="4" t="s">
        <v>16</v>
      </c>
      <c r="F120" s="4" t="s">
        <v>17</v>
      </c>
      <c r="G120" s="4" t="s">
        <v>18</v>
      </c>
      <c r="H120" s="5" t="n">
        <f>20.0</f>
        <v>20.0</v>
      </c>
    </row>
    <row r="121">
      <c r="A121" s="3" t="s">
        <v>118</v>
      </c>
      <c r="B121" s="4" t="s">
        <v>123</v>
      </c>
      <c r="C121" s="4" t="s">
        <v>124</v>
      </c>
      <c r="D121" s="3" t="n">
        <v>3.0</v>
      </c>
      <c r="E121" s="4" t="s">
        <v>37</v>
      </c>
      <c r="F121" s="4" t="s">
        <v>38</v>
      </c>
      <c r="G121" s="4" t="s">
        <v>39</v>
      </c>
      <c r="H121" s="5" t="n">
        <f>13.0</f>
        <v>13.0</v>
      </c>
    </row>
    <row r="122">
      <c r="A122" s="3" t="s">
        <v>118</v>
      </c>
      <c r="B122" s="4" t="s">
        <v>123</v>
      </c>
      <c r="C122" s="4" t="s">
        <v>124</v>
      </c>
      <c r="D122" s="3" t="n">
        <v>3.0</v>
      </c>
      <c r="E122" s="4" t="s">
        <v>64</v>
      </c>
      <c r="F122" s="4" t="s">
        <v>65</v>
      </c>
      <c r="G122" s="4" t="s">
        <v>66</v>
      </c>
      <c r="H122" s="5" t="n">
        <f>13.0</f>
        <v>13.0</v>
      </c>
    </row>
    <row r="123">
      <c r="A123" s="3" t="s">
        <v>118</v>
      </c>
      <c r="B123" s="4" t="s">
        <v>123</v>
      </c>
      <c r="C123" s="4" t="s">
        <v>124</v>
      </c>
      <c r="D123" s="3" t="n">
        <v>3.0</v>
      </c>
      <c r="E123" s="4" t="s">
        <v>34</v>
      </c>
      <c r="F123" s="4" t="s">
        <v>35</v>
      </c>
      <c r="G123" s="4" t="s">
        <v>36</v>
      </c>
      <c r="H123" s="5" t="n">
        <f>13.0</f>
        <v>13.0</v>
      </c>
    </row>
    <row r="124">
      <c r="A124" s="3" t="s">
        <v>118</v>
      </c>
      <c r="B124" s="4" t="s">
        <v>123</v>
      </c>
      <c r="C124" s="4" t="s">
        <v>124</v>
      </c>
      <c r="D124" s="3" t="n">
        <v>6.0</v>
      </c>
      <c r="E124" s="4" t="s">
        <v>107</v>
      </c>
      <c r="F124" s="4" t="s">
        <v>108</v>
      </c>
      <c r="G124" s="4" t="s">
        <v>109</v>
      </c>
      <c r="H124" s="5" t="n">
        <f>6.0</f>
        <v>6.0</v>
      </c>
    </row>
    <row r="125">
      <c r="A125" s="3" t="s">
        <v>118</v>
      </c>
      <c r="B125" s="4" t="s">
        <v>123</v>
      </c>
      <c r="C125" s="4" t="s">
        <v>124</v>
      </c>
      <c r="D125" s="3" t="n">
        <v>7.0</v>
      </c>
      <c r="E125" s="4" t="s">
        <v>55</v>
      </c>
      <c r="F125" s="4" t="s">
        <v>56</v>
      </c>
      <c r="G125" s="4" t="s">
        <v>57</v>
      </c>
      <c r="H125" s="5" t="n">
        <f>3.0</f>
        <v>3.0</v>
      </c>
    </row>
    <row r="126">
      <c r="A126" s="3" t="s">
        <v>118</v>
      </c>
      <c r="B126" s="4" t="s">
        <v>123</v>
      </c>
      <c r="C126" s="4" t="s">
        <v>124</v>
      </c>
      <c r="D126" s="3" t="n">
        <v>8.0</v>
      </c>
      <c r="E126" s="4" t="s">
        <v>49</v>
      </c>
      <c r="F126" s="4" t="s">
        <v>50</v>
      </c>
      <c r="G126" s="4" t="s">
        <v>51</v>
      </c>
      <c r="H126" s="5" t="n">
        <f>2.0</f>
        <v>2.0</v>
      </c>
    </row>
    <row r="127">
      <c r="A127" s="3" t="s">
        <v>118</v>
      </c>
      <c r="B127" s="4" t="s">
        <v>125</v>
      </c>
      <c r="C127" s="4" t="s">
        <v>126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7.0</f>
        <v>7.0</v>
      </c>
    </row>
    <row r="128">
      <c r="A128" s="3" t="s">
        <v>118</v>
      </c>
      <c r="B128" s="4" t="s">
        <v>125</v>
      </c>
      <c r="C128" s="4" t="s">
        <v>126</v>
      </c>
      <c r="D128" s="3" t="n">
        <v>2.0</v>
      </c>
      <c r="E128" s="4" t="s">
        <v>16</v>
      </c>
      <c r="F128" s="4" t="s">
        <v>17</v>
      </c>
      <c r="G128" s="4" t="s">
        <v>18</v>
      </c>
      <c r="H128" s="5" t="n">
        <f>2.0</f>
        <v>2.0</v>
      </c>
    </row>
    <row r="129">
      <c r="A129" s="3" t="s">
        <v>118</v>
      </c>
      <c r="B129" s="4" t="s">
        <v>125</v>
      </c>
      <c r="C129" s="4" t="s">
        <v>126</v>
      </c>
      <c r="D129" s="3" t="n">
        <v>3.0</v>
      </c>
      <c r="E129" s="4" t="s">
        <v>102</v>
      </c>
      <c r="F129" s="4" t="s">
        <v>103</v>
      </c>
      <c r="G129" s="4" t="s">
        <v>104</v>
      </c>
      <c r="H129" s="5" t="n">
        <f>1.0</f>
        <v>1.0</v>
      </c>
    </row>
    <row r="130">
      <c r="A130" s="3" t="s">
        <v>118</v>
      </c>
      <c r="B130" s="4" t="s">
        <v>127</v>
      </c>
      <c r="C130" s="4" t="s">
        <v>128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35.0</f>
        <v>35.0</v>
      </c>
    </row>
    <row r="131">
      <c r="A131" s="3" t="s">
        <v>118</v>
      </c>
      <c r="B131" s="4" t="s">
        <v>127</v>
      </c>
      <c r="C131" s="4" t="s">
        <v>128</v>
      </c>
      <c r="D131" s="3" t="n">
        <v>2.0</v>
      </c>
      <c r="E131" s="4" t="s">
        <v>16</v>
      </c>
      <c r="F131" s="4" t="s">
        <v>17</v>
      </c>
      <c r="G131" s="4" t="s">
        <v>18</v>
      </c>
      <c r="H131" s="5" t="n">
        <f>6.0</f>
        <v>6.0</v>
      </c>
    </row>
    <row r="132">
      <c r="A132" s="3" t="s">
        <v>118</v>
      </c>
      <c r="B132" s="4" t="s">
        <v>127</v>
      </c>
      <c r="C132" s="4" t="s">
        <v>128</v>
      </c>
      <c r="D132" s="3" t="n">
        <v>3.0</v>
      </c>
      <c r="E132" s="4" t="s">
        <v>49</v>
      </c>
      <c r="F132" s="4" t="s">
        <v>50</v>
      </c>
      <c r="G132" s="4" t="s">
        <v>51</v>
      </c>
      <c r="H132" s="5" t="n">
        <f>4.0</f>
        <v>4.0</v>
      </c>
    </row>
    <row r="133">
      <c r="A133" s="3" t="s">
        <v>118</v>
      </c>
      <c r="B133" s="4" t="s">
        <v>127</v>
      </c>
      <c r="C133" s="4" t="s">
        <v>128</v>
      </c>
      <c r="D133" s="3" t="n">
        <v>4.0</v>
      </c>
      <c r="E133" s="4" t="s">
        <v>107</v>
      </c>
      <c r="F133" s="4" t="s">
        <v>108</v>
      </c>
      <c r="G133" s="4" t="s">
        <v>109</v>
      </c>
      <c r="H133" s="5" t="n">
        <f>3.0</f>
        <v>3.0</v>
      </c>
    </row>
    <row r="134">
      <c r="A134" s="3" t="s">
        <v>118</v>
      </c>
      <c r="B134" s="4" t="s">
        <v>127</v>
      </c>
      <c r="C134" s="4" t="s">
        <v>128</v>
      </c>
      <c r="D134" s="3" t="n">
        <v>5.0</v>
      </c>
      <c r="E134" s="4" t="s">
        <v>78</v>
      </c>
      <c r="F134" s="4" t="s">
        <v>79</v>
      </c>
      <c r="G134" s="4" t="s">
        <v>80</v>
      </c>
      <c r="H134" s="5" t="n">
        <f>1.0</f>
        <v>1.0</v>
      </c>
    </row>
    <row r="135">
      <c r="A135" s="3" t="s">
        <v>118</v>
      </c>
      <c r="B135" s="4" t="s">
        <v>127</v>
      </c>
      <c r="C135" s="4" t="s">
        <v>128</v>
      </c>
      <c r="D135" s="3" t="n">
        <v>5.0</v>
      </c>
      <c r="E135" s="4" t="s">
        <v>67</v>
      </c>
      <c r="F135" s="4" t="s">
        <v>68</v>
      </c>
      <c r="G135" s="4" t="s">
        <v>69</v>
      </c>
      <c r="H135" s="5" t="n">
        <f>1.0</f>
        <v>1.0</v>
      </c>
    </row>
    <row r="136">
      <c r="A136" s="3" t="s">
        <v>118</v>
      </c>
      <c r="B136" s="4" t="s">
        <v>129</v>
      </c>
      <c r="C136" s="4" t="s">
        <v>130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10.0</f>
        <v>10.0</v>
      </c>
    </row>
    <row r="137">
      <c r="A137" s="3" t="s">
        <v>118</v>
      </c>
      <c r="B137" s="4" t="s">
        <v>129</v>
      </c>
      <c r="C137" s="4" t="s">
        <v>130</v>
      </c>
      <c r="D137" s="3" t="n">
        <v>2.0</v>
      </c>
      <c r="E137" s="4" t="s">
        <v>55</v>
      </c>
      <c r="F137" s="4" t="s">
        <v>56</v>
      </c>
      <c r="G137" s="4" t="s">
        <v>57</v>
      </c>
      <c r="H137" s="5" t="n">
        <f>1.0</f>
        <v>1.0</v>
      </c>
    </row>
    <row r="138">
      <c r="A138" s="3" t="s">
        <v>118</v>
      </c>
      <c r="B138" s="4" t="s">
        <v>129</v>
      </c>
      <c r="C138" s="4" t="s">
        <v>130</v>
      </c>
      <c r="D138" s="3" t="n">
        <v>2.0</v>
      </c>
      <c r="E138" s="4" t="s">
        <v>16</v>
      </c>
      <c r="F138" s="4" t="s">
        <v>17</v>
      </c>
      <c r="G138" s="4" t="s">
        <v>18</v>
      </c>
      <c r="H138" s="5" t="n">
        <f>1.0</f>
        <v>1.0</v>
      </c>
    </row>
    <row r="139">
      <c r="A139" s="3" t="s">
        <v>118</v>
      </c>
      <c r="B139" s="4" t="s">
        <v>129</v>
      </c>
      <c r="C139" s="4" t="s">
        <v>130</v>
      </c>
      <c r="D139" s="3" t="n">
        <v>2.0</v>
      </c>
      <c r="E139" s="4" t="s">
        <v>107</v>
      </c>
      <c r="F139" s="4" t="s">
        <v>108</v>
      </c>
      <c r="G139" s="4" t="s">
        <v>109</v>
      </c>
      <c r="H139" s="5" t="n">
        <f>1.0</f>
        <v>1.0</v>
      </c>
    </row>
    <row r="140">
      <c r="A140" s="3" t="s">
        <v>118</v>
      </c>
      <c r="B140" s="4" t="s">
        <v>129</v>
      </c>
      <c r="C140" s="4" t="s">
        <v>130</v>
      </c>
      <c r="D140" s="3" t="n">
        <v>2.0</v>
      </c>
      <c r="E140" s="4" t="s">
        <v>49</v>
      </c>
      <c r="F140" s="4" t="s">
        <v>50</v>
      </c>
      <c r="G140" s="4" t="s">
        <v>51</v>
      </c>
      <c r="H140" s="5" t="n">
        <f>1.0</f>
        <v>1.0</v>
      </c>
    </row>
    <row r="141">
      <c r="A141" s="3" t="s">
        <v>118</v>
      </c>
      <c r="B141" s="4" t="s">
        <v>131</v>
      </c>
      <c r="C141" s="4" t="s">
        <v>132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159.0</f>
        <v>159.0</v>
      </c>
    </row>
    <row r="142">
      <c r="A142" s="3" t="s">
        <v>118</v>
      </c>
      <c r="B142" s="4" t="s">
        <v>131</v>
      </c>
      <c r="C142" s="4" t="s">
        <v>132</v>
      </c>
      <c r="D142" s="3" t="n">
        <v>2.0</v>
      </c>
      <c r="E142" s="4" t="s">
        <v>40</v>
      </c>
      <c r="F142" s="4" t="s">
        <v>41</v>
      </c>
      <c r="G142" s="4" t="s">
        <v>42</v>
      </c>
      <c r="H142" s="5" t="n">
        <f>50.0</f>
        <v>50.0</v>
      </c>
    </row>
    <row r="143">
      <c r="A143" s="3" t="s">
        <v>118</v>
      </c>
      <c r="B143" s="4" t="s">
        <v>131</v>
      </c>
      <c r="C143" s="4" t="s">
        <v>132</v>
      </c>
      <c r="D143" s="3" t="n">
        <v>3.0</v>
      </c>
      <c r="E143" s="4" t="s">
        <v>31</v>
      </c>
      <c r="F143" s="4" t="s">
        <v>32</v>
      </c>
      <c r="G143" s="4" t="s">
        <v>33</v>
      </c>
      <c r="H143" s="5" t="n">
        <f>39.0</f>
        <v>39.0</v>
      </c>
    </row>
    <row r="144">
      <c r="A144" s="3" t="s">
        <v>118</v>
      </c>
      <c r="B144" s="4" t="s">
        <v>131</v>
      </c>
      <c r="C144" s="4" t="s">
        <v>132</v>
      </c>
      <c r="D144" s="3" t="n">
        <v>4.0</v>
      </c>
      <c r="E144" s="4" t="s">
        <v>55</v>
      </c>
      <c r="F144" s="4" t="s">
        <v>56</v>
      </c>
      <c r="G144" s="4" t="s">
        <v>57</v>
      </c>
      <c r="H144" s="5" t="n">
        <f>29.0</f>
        <v>29.0</v>
      </c>
    </row>
    <row r="145">
      <c r="A145" s="3" t="s">
        <v>118</v>
      </c>
      <c r="B145" s="4" t="s">
        <v>131</v>
      </c>
      <c r="C145" s="4" t="s">
        <v>132</v>
      </c>
      <c r="D145" s="3" t="n">
        <v>5.0</v>
      </c>
      <c r="E145" s="4" t="s">
        <v>16</v>
      </c>
      <c r="F145" s="4" t="s">
        <v>17</v>
      </c>
      <c r="G145" s="4" t="s">
        <v>18</v>
      </c>
      <c r="H145" s="5" t="n">
        <f>16.0</f>
        <v>16.0</v>
      </c>
    </row>
    <row r="146">
      <c r="A146" s="3" t="s">
        <v>118</v>
      </c>
      <c r="B146" s="4" t="s">
        <v>131</v>
      </c>
      <c r="C146" s="4" t="s">
        <v>132</v>
      </c>
      <c r="D146" s="3" t="n">
        <v>6.0</v>
      </c>
      <c r="E146" s="4" t="s">
        <v>28</v>
      </c>
      <c r="F146" s="4" t="s">
        <v>29</v>
      </c>
      <c r="G146" s="4" t="s">
        <v>30</v>
      </c>
      <c r="H146" s="5" t="n">
        <f>10.0</f>
        <v>10.0</v>
      </c>
    </row>
    <row r="147">
      <c r="A147" s="3" t="s">
        <v>118</v>
      </c>
      <c r="B147" s="4" t="s">
        <v>131</v>
      </c>
      <c r="C147" s="4" t="s">
        <v>132</v>
      </c>
      <c r="D147" s="3" t="n">
        <v>6.0</v>
      </c>
      <c r="E147" s="4" t="s">
        <v>78</v>
      </c>
      <c r="F147" s="4" t="s">
        <v>79</v>
      </c>
      <c r="G147" s="4" t="s">
        <v>80</v>
      </c>
      <c r="H147" s="5" t="n">
        <f>10.0</f>
        <v>10.0</v>
      </c>
    </row>
    <row r="148">
      <c r="A148" s="3" t="s">
        <v>118</v>
      </c>
      <c r="B148" s="4" t="s">
        <v>131</v>
      </c>
      <c r="C148" s="4" t="s">
        <v>132</v>
      </c>
      <c r="D148" s="3" t="n">
        <v>8.0</v>
      </c>
      <c r="E148" s="4" t="s">
        <v>37</v>
      </c>
      <c r="F148" s="4" t="s">
        <v>38</v>
      </c>
      <c r="G148" s="4" t="s">
        <v>39</v>
      </c>
      <c r="H148" s="5" t="n">
        <f>9.0</f>
        <v>9.0</v>
      </c>
    </row>
    <row r="149">
      <c r="A149" s="3" t="s">
        <v>118</v>
      </c>
      <c r="B149" s="4" t="s">
        <v>131</v>
      </c>
      <c r="C149" s="4" t="s">
        <v>132</v>
      </c>
      <c r="D149" s="3" t="n">
        <v>9.0</v>
      </c>
      <c r="E149" s="4" t="s">
        <v>49</v>
      </c>
      <c r="F149" s="4" t="s">
        <v>50</v>
      </c>
      <c r="G149" s="4" t="s">
        <v>51</v>
      </c>
      <c r="H149" s="5" t="n">
        <f>7.0</f>
        <v>7.0</v>
      </c>
    </row>
    <row r="150">
      <c r="A150" s="3" t="s">
        <v>118</v>
      </c>
      <c r="B150" s="4" t="s">
        <v>131</v>
      </c>
      <c r="C150" s="4" t="s">
        <v>132</v>
      </c>
      <c r="D150" s="3" t="n">
        <v>10.0</v>
      </c>
      <c r="E150" s="4" t="s">
        <v>102</v>
      </c>
      <c r="F150" s="4" t="s">
        <v>103</v>
      </c>
      <c r="G150" s="4" t="s">
        <v>104</v>
      </c>
      <c r="H150" s="5" t="n">
        <f>6.0</f>
        <v>6.0</v>
      </c>
    </row>
    <row r="151">
      <c r="A151" s="3" t="s">
        <v>118</v>
      </c>
      <c r="B151" s="4" t="s">
        <v>131</v>
      </c>
      <c r="C151" s="4" t="s">
        <v>132</v>
      </c>
      <c r="D151" s="3" t="n">
        <v>11.0</v>
      </c>
      <c r="E151" s="4" t="s">
        <v>107</v>
      </c>
      <c r="F151" s="4" t="s">
        <v>108</v>
      </c>
      <c r="G151" s="4" t="s">
        <v>109</v>
      </c>
      <c r="H151" s="5" t="n">
        <f>4.0</f>
        <v>4.0</v>
      </c>
    </row>
    <row r="152">
      <c r="A152" s="3" t="s">
        <v>118</v>
      </c>
      <c r="B152" s="4" t="s">
        <v>131</v>
      </c>
      <c r="C152" s="4" t="s">
        <v>132</v>
      </c>
      <c r="D152" s="3" t="n">
        <v>12.0</v>
      </c>
      <c r="E152" s="4" t="s">
        <v>22</v>
      </c>
      <c r="F152" s="4" t="s">
        <v>23</v>
      </c>
      <c r="G152" s="4" t="s">
        <v>24</v>
      </c>
      <c r="H152" s="5" t="n">
        <f>2.0</f>
        <v>2.0</v>
      </c>
    </row>
    <row r="153">
      <c r="A153" s="3" t="s">
        <v>118</v>
      </c>
      <c r="B153" s="4" t="s">
        <v>131</v>
      </c>
      <c r="C153" s="4" t="s">
        <v>132</v>
      </c>
      <c r="D153" s="3" t="n">
        <v>12.0</v>
      </c>
      <c r="E153" s="4" t="s">
        <v>34</v>
      </c>
      <c r="F153" s="4" t="s">
        <v>35</v>
      </c>
      <c r="G153" s="4" t="s">
        <v>36</v>
      </c>
      <c r="H153" s="5" t="n">
        <f>2.0</f>
        <v>2.0</v>
      </c>
    </row>
    <row r="154">
      <c r="A154" s="3" t="s">
        <v>118</v>
      </c>
      <c r="B154" s="4" t="s">
        <v>131</v>
      </c>
      <c r="C154" s="4" t="s">
        <v>132</v>
      </c>
      <c r="D154" s="3" t="n">
        <v>14.0</v>
      </c>
      <c r="E154" s="4" t="s">
        <v>75</v>
      </c>
      <c r="F154" s="4" t="s">
        <v>76</v>
      </c>
      <c r="G154" s="4" t="s">
        <v>77</v>
      </c>
      <c r="H154" s="5" t="n">
        <f>1.0</f>
        <v>1.0</v>
      </c>
    </row>
    <row r="155">
      <c r="A155" s="3" t="s">
        <v>118</v>
      </c>
      <c r="B155" s="4" t="s">
        <v>133</v>
      </c>
      <c r="C155" s="4" t="s">
        <v>134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12.0</f>
        <v>12.0</v>
      </c>
    </row>
    <row r="156">
      <c r="A156" s="3" t="s">
        <v>118</v>
      </c>
      <c r="B156" s="4" t="s">
        <v>133</v>
      </c>
      <c r="C156" s="4" t="s">
        <v>134</v>
      </c>
      <c r="D156" s="3" t="n">
        <v>2.0</v>
      </c>
      <c r="E156" s="4" t="s">
        <v>37</v>
      </c>
      <c r="F156" s="4" t="s">
        <v>38</v>
      </c>
      <c r="G156" s="4" t="s">
        <v>39</v>
      </c>
      <c r="H156" s="5" t="n">
        <f>11.0</f>
        <v>11.0</v>
      </c>
    </row>
    <row r="157">
      <c r="A157" s="3" t="s">
        <v>118</v>
      </c>
      <c r="B157" s="4" t="s">
        <v>133</v>
      </c>
      <c r="C157" s="4" t="s">
        <v>134</v>
      </c>
      <c r="D157" s="3" t="n">
        <v>3.0</v>
      </c>
      <c r="E157" s="4" t="s">
        <v>102</v>
      </c>
      <c r="F157" s="4" t="s">
        <v>103</v>
      </c>
      <c r="G157" s="4" t="s">
        <v>104</v>
      </c>
      <c r="H157" s="5" t="n">
        <f>2.0</f>
        <v>2.0</v>
      </c>
    </row>
    <row r="158">
      <c r="A158" s="3" t="s">
        <v>118</v>
      </c>
      <c r="B158" s="4" t="s">
        <v>133</v>
      </c>
      <c r="C158" s="4" t="s">
        <v>134</v>
      </c>
      <c r="D158" s="3" t="n">
        <v>4.0</v>
      </c>
      <c r="E158" s="4" t="s">
        <v>107</v>
      </c>
      <c r="F158" s="4" t="s">
        <v>108</v>
      </c>
      <c r="G158" s="4" t="s">
        <v>109</v>
      </c>
      <c r="H158" s="5" t="n">
        <f>1.0</f>
        <v>1.0</v>
      </c>
    </row>
    <row r="159">
      <c r="A159" s="3" t="s">
        <v>118</v>
      </c>
      <c r="B159" s="4" t="s">
        <v>135</v>
      </c>
      <c r="C159" s="4" t="s">
        <v>136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76.0</f>
        <v>76.0</v>
      </c>
    </row>
    <row r="160">
      <c r="A160" s="3" t="s">
        <v>118</v>
      </c>
      <c r="B160" s="4" t="s">
        <v>135</v>
      </c>
      <c r="C160" s="4" t="s">
        <v>136</v>
      </c>
      <c r="D160" s="3" t="n">
        <v>2.0</v>
      </c>
      <c r="E160" s="4" t="s">
        <v>43</v>
      </c>
      <c r="F160" s="4" t="s">
        <v>44</v>
      </c>
      <c r="G160" s="4" t="s">
        <v>45</v>
      </c>
      <c r="H160" s="5" t="n">
        <f>67.0</f>
        <v>67.0</v>
      </c>
    </row>
    <row r="161">
      <c r="A161" s="3" t="s">
        <v>118</v>
      </c>
      <c r="B161" s="4" t="s">
        <v>135</v>
      </c>
      <c r="C161" s="4" t="s">
        <v>136</v>
      </c>
      <c r="D161" s="3" t="n">
        <v>3.0</v>
      </c>
      <c r="E161" s="4" t="s">
        <v>107</v>
      </c>
      <c r="F161" s="4" t="s">
        <v>108</v>
      </c>
      <c r="G161" s="4" t="s">
        <v>109</v>
      </c>
      <c r="H161" s="5" t="n">
        <f>8.0</f>
        <v>8.0</v>
      </c>
    </row>
    <row r="162">
      <c r="A162" s="3" t="s">
        <v>118</v>
      </c>
      <c r="B162" s="4" t="s">
        <v>135</v>
      </c>
      <c r="C162" s="4" t="s">
        <v>136</v>
      </c>
      <c r="D162" s="3" t="n">
        <v>3.0</v>
      </c>
      <c r="E162" s="4" t="s">
        <v>25</v>
      </c>
      <c r="F162" s="4" t="s">
        <v>26</v>
      </c>
      <c r="G162" s="4" t="s">
        <v>27</v>
      </c>
      <c r="H162" s="5" t="n">
        <f>8.0</f>
        <v>8.0</v>
      </c>
    </row>
    <row r="163">
      <c r="A163" s="3" t="s">
        <v>118</v>
      </c>
      <c r="B163" s="4" t="s">
        <v>135</v>
      </c>
      <c r="C163" s="4" t="s">
        <v>136</v>
      </c>
      <c r="D163" s="3" t="n">
        <v>5.0</v>
      </c>
      <c r="E163" s="4" t="s">
        <v>49</v>
      </c>
      <c r="F163" s="4" t="s">
        <v>50</v>
      </c>
      <c r="G163" s="4" t="s">
        <v>51</v>
      </c>
      <c r="H163" s="5" t="n">
        <f>4.0</f>
        <v>4.0</v>
      </c>
    </row>
    <row r="164">
      <c r="A164" s="3" t="s">
        <v>118</v>
      </c>
      <c r="B164" s="4" t="s">
        <v>135</v>
      </c>
      <c r="C164" s="4" t="s">
        <v>136</v>
      </c>
      <c r="D164" s="3" t="n">
        <v>6.0</v>
      </c>
      <c r="E164" s="4" t="s">
        <v>55</v>
      </c>
      <c r="F164" s="4" t="s">
        <v>56</v>
      </c>
      <c r="G164" s="4" t="s">
        <v>57</v>
      </c>
      <c r="H164" s="5" t="n">
        <f>3.0</f>
        <v>3.0</v>
      </c>
    </row>
    <row r="165">
      <c r="A165" s="3" t="s">
        <v>118</v>
      </c>
      <c r="B165" s="4" t="s">
        <v>135</v>
      </c>
      <c r="C165" s="4" t="s">
        <v>136</v>
      </c>
      <c r="D165" s="3" t="n">
        <v>7.0</v>
      </c>
      <c r="E165" s="4" t="s">
        <v>75</v>
      </c>
      <c r="F165" s="4" t="s">
        <v>76</v>
      </c>
      <c r="G165" s="4" t="s">
        <v>77</v>
      </c>
      <c r="H165" s="5" t="n">
        <f>1.0</f>
        <v>1.0</v>
      </c>
    </row>
    <row r="166">
      <c r="A166" s="3" t="s">
        <v>118</v>
      </c>
      <c r="B166" s="4" t="s">
        <v>135</v>
      </c>
      <c r="C166" s="4" t="s">
        <v>136</v>
      </c>
      <c r="D166" s="3" t="n">
        <v>7.0</v>
      </c>
      <c r="E166" s="4" t="s">
        <v>37</v>
      </c>
      <c r="F166" s="4" t="s">
        <v>38</v>
      </c>
      <c r="G166" s="4" t="s">
        <v>39</v>
      </c>
      <c r="H166" s="5" t="n">
        <f>1.0</f>
        <v>1.0</v>
      </c>
    </row>
    <row r="167">
      <c r="A167" s="3" t="s">
        <v>118</v>
      </c>
      <c r="B167" s="4" t="s">
        <v>137</v>
      </c>
      <c r="C167" s="4" t="s">
        <v>138</v>
      </c>
      <c r="D167" s="3" t="n">
        <v>1.0</v>
      </c>
      <c r="E167" s="4" t="s">
        <v>43</v>
      </c>
      <c r="F167" s="4" t="s">
        <v>44</v>
      </c>
      <c r="G167" s="4" t="s">
        <v>45</v>
      </c>
      <c r="H167" s="5" t="n">
        <f>14.0</f>
        <v>14.0</v>
      </c>
    </row>
    <row r="168">
      <c r="A168" s="3" t="s">
        <v>118</v>
      </c>
      <c r="B168" s="4" t="s">
        <v>137</v>
      </c>
      <c r="C168" s="4" t="s">
        <v>138</v>
      </c>
      <c r="D168" s="3" t="n">
        <v>2.0</v>
      </c>
      <c r="E168" s="4" t="s">
        <v>13</v>
      </c>
      <c r="F168" s="4" t="s">
        <v>14</v>
      </c>
      <c r="G168" s="4" t="s">
        <v>15</v>
      </c>
      <c r="H168" s="5" t="n">
        <f>13.0</f>
        <v>13.0</v>
      </c>
    </row>
    <row r="169">
      <c r="A169" s="3" t="s">
        <v>118</v>
      </c>
      <c r="B169" s="4" t="s">
        <v>137</v>
      </c>
      <c r="C169" s="4" t="s">
        <v>138</v>
      </c>
      <c r="D169" s="3" t="n">
        <v>3.0</v>
      </c>
      <c r="E169" s="4" t="s">
        <v>16</v>
      </c>
      <c r="F169" s="4" t="s">
        <v>17</v>
      </c>
      <c r="G169" s="4" t="s">
        <v>18</v>
      </c>
      <c r="H169" s="5" t="n">
        <f>1.0</f>
        <v>1.0</v>
      </c>
    </row>
    <row r="170">
      <c r="A170" s="3" t="s">
        <v>118</v>
      </c>
      <c r="B170" s="4" t="s">
        <v>139</v>
      </c>
      <c r="C170" s="4" t="s">
        <v>140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2.0</f>
        <v>2.0</v>
      </c>
    </row>
    <row r="171">
      <c r="A171" s="3" t="s">
        <v>118</v>
      </c>
      <c r="B171" s="4" t="s">
        <v>139</v>
      </c>
      <c r="C171" s="4" t="s">
        <v>140</v>
      </c>
      <c r="D171" s="3" t="n">
        <v>2.0</v>
      </c>
      <c r="E171" s="4" t="s">
        <v>55</v>
      </c>
      <c r="F171" s="4" t="s">
        <v>56</v>
      </c>
      <c r="G171" s="4" t="s">
        <v>57</v>
      </c>
      <c r="H171" s="5" t="n">
        <f>1.0</f>
        <v>1.0</v>
      </c>
    </row>
    <row r="172">
      <c r="A172" s="3" t="s">
        <v>118</v>
      </c>
      <c r="B172" s="4" t="s">
        <v>139</v>
      </c>
      <c r="C172" s="4" t="s">
        <v>140</v>
      </c>
      <c r="D172" s="3" t="n">
        <v>2.0</v>
      </c>
      <c r="E172" s="4" t="s">
        <v>102</v>
      </c>
      <c r="F172" s="4" t="s">
        <v>103</v>
      </c>
      <c r="G172" s="4" t="s">
        <v>104</v>
      </c>
      <c r="H172" s="5" t="n">
        <f>1.0</f>
        <v>1.0</v>
      </c>
    </row>
    <row r="173">
      <c r="A173" s="3" t="s">
        <v>141</v>
      </c>
      <c r="B173" s="4" t="s">
        <v>142</v>
      </c>
      <c r="C173" s="4" t="s">
        <v>143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1002.0</f>
        <v>1002.0</v>
      </c>
    </row>
    <row r="174">
      <c r="A174" s="3" t="s">
        <v>141</v>
      </c>
      <c r="B174" s="4" t="s">
        <v>142</v>
      </c>
      <c r="C174" s="4" t="s">
        <v>143</v>
      </c>
      <c r="D174" s="3" t="n">
        <v>2.0</v>
      </c>
      <c r="E174" s="4" t="s">
        <v>81</v>
      </c>
      <c r="F174" s="4" t="s">
        <v>82</v>
      </c>
      <c r="G174" s="4" t="s">
        <v>83</v>
      </c>
      <c r="H174" s="5" t="n">
        <f>1000.0</f>
        <v>1000.0</v>
      </c>
    </row>
    <row r="175">
      <c r="A175" s="3" t="s">
        <v>141</v>
      </c>
      <c r="B175" s="4" t="s">
        <v>144</v>
      </c>
      <c r="C175" s="4" t="s">
        <v>145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1001.0</f>
        <v>1001.0</v>
      </c>
    </row>
    <row r="176">
      <c r="A176" s="3" t="s">
        <v>141</v>
      </c>
      <c r="B176" s="4" t="s">
        <v>144</v>
      </c>
      <c r="C176" s="4" t="s">
        <v>145</v>
      </c>
      <c r="D176" s="3" t="n">
        <v>2.0</v>
      </c>
      <c r="E176" s="4" t="s">
        <v>81</v>
      </c>
      <c r="F176" s="4" t="s">
        <v>82</v>
      </c>
      <c r="G176" s="4" t="s">
        <v>83</v>
      </c>
      <c r="H176" s="5" t="n">
        <f>1000.0</f>
        <v>1000.0</v>
      </c>
    </row>
    <row r="177">
      <c r="A177" s="3" t="s">
        <v>141</v>
      </c>
      <c r="B177" s="4" t="s">
        <v>146</v>
      </c>
      <c r="C177" s="4" t="s">
        <v>147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602.0</f>
        <v>602.0</v>
      </c>
    </row>
    <row r="178">
      <c r="A178" s="3" t="s">
        <v>141</v>
      </c>
      <c r="B178" s="4" t="s">
        <v>146</v>
      </c>
      <c r="C178" s="4" t="s">
        <v>147</v>
      </c>
      <c r="D178" s="3" t="n">
        <v>2.0</v>
      </c>
      <c r="E178" s="4" t="s">
        <v>148</v>
      </c>
      <c r="F178" s="4" t="s">
        <v>149</v>
      </c>
      <c r="G178" s="4" t="s">
        <v>150</v>
      </c>
      <c r="H178" s="5" t="n">
        <f>600.0</f>
        <v>600.0</v>
      </c>
    </row>
    <row r="179">
      <c r="A179" s="3" t="s">
        <v>141</v>
      </c>
      <c r="B179" s="4" t="s">
        <v>151</v>
      </c>
      <c r="C179" s="4" t="s">
        <v>152</v>
      </c>
      <c r="D179" s="3" t="n">
        <v>1.0</v>
      </c>
      <c r="E179" s="4" t="s">
        <v>81</v>
      </c>
      <c r="F179" s="4" t="s">
        <v>82</v>
      </c>
      <c r="G179" s="4" t="s">
        <v>83</v>
      </c>
      <c r="H179" s="5" t="n">
        <f>400.0</f>
        <v>400.0</v>
      </c>
    </row>
    <row r="180">
      <c r="A180" s="3" t="s">
        <v>141</v>
      </c>
      <c r="B180" s="4" t="s">
        <v>151</v>
      </c>
      <c r="C180" s="4" t="s">
        <v>152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400.0</f>
        <v>400.0</v>
      </c>
    </row>
    <row r="181">
      <c r="A181" s="3" t="s">
        <v>141</v>
      </c>
      <c r="B181" s="4" t="s">
        <v>153</v>
      </c>
      <c r="C181" s="4" t="s">
        <v>154</v>
      </c>
      <c r="D181" s="3" t="n">
        <v>1.0</v>
      </c>
      <c r="E181" s="4" t="s">
        <v>81</v>
      </c>
      <c r="F181" s="4" t="s">
        <v>82</v>
      </c>
      <c r="G181" s="4" t="s">
        <v>83</v>
      </c>
      <c r="H181" s="5" t="n">
        <f>375.0</f>
        <v>375.0</v>
      </c>
    </row>
    <row r="182">
      <c r="A182" s="3" t="s">
        <v>141</v>
      </c>
      <c r="B182" s="4" t="s">
        <v>153</v>
      </c>
      <c r="C182" s="4" t="s">
        <v>154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375.0</f>
        <v>375.0</v>
      </c>
    </row>
    <row r="183">
      <c r="A183" s="3" t="s">
        <v>141</v>
      </c>
      <c r="B183" s="4" t="s">
        <v>155</v>
      </c>
      <c r="C183" s="4" t="s">
        <v>156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300.0</f>
        <v>300.0</v>
      </c>
    </row>
    <row r="184">
      <c r="A184" s="3" t="s">
        <v>141</v>
      </c>
      <c r="B184" s="4" t="s">
        <v>155</v>
      </c>
      <c r="C184" s="4" t="s">
        <v>156</v>
      </c>
      <c r="D184" s="3" t="n">
        <v>1.0</v>
      </c>
      <c r="E184" s="4" t="s">
        <v>31</v>
      </c>
      <c r="F184" s="4" t="s">
        <v>32</v>
      </c>
      <c r="G184" s="4" t="s">
        <v>33</v>
      </c>
      <c r="H184" s="5" t="n">
        <f>300.0</f>
        <v>300.0</v>
      </c>
    </row>
    <row r="185">
      <c r="A185" s="3" t="s">
        <v>141</v>
      </c>
      <c r="B185" s="4" t="s">
        <v>157</v>
      </c>
      <c r="C185" s="4" t="s">
        <v>158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300.0</f>
        <v>300.0</v>
      </c>
    </row>
    <row r="186">
      <c r="A186" s="3" t="s">
        <v>141</v>
      </c>
      <c r="B186" s="4" t="s">
        <v>157</v>
      </c>
      <c r="C186" s="4" t="s">
        <v>158</v>
      </c>
      <c r="D186" s="3" t="n">
        <v>1.0</v>
      </c>
      <c r="E186" s="4" t="s">
        <v>67</v>
      </c>
      <c r="F186" s="4" t="s">
        <v>68</v>
      </c>
      <c r="G186" s="4" t="s">
        <v>69</v>
      </c>
      <c r="H186" s="5" t="n">
        <f>300.0</f>
        <v>300.0</v>
      </c>
    </row>
    <row r="187">
      <c r="A187" s="3" t="s">
        <v>141</v>
      </c>
      <c r="B187" s="4" t="s">
        <v>159</v>
      </c>
      <c r="C187" s="4" t="s">
        <v>160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150.0</f>
        <v>150.0</v>
      </c>
    </row>
    <row r="188">
      <c r="A188" s="3" t="s">
        <v>141</v>
      </c>
      <c r="B188" s="4" t="s">
        <v>159</v>
      </c>
      <c r="C188" s="4" t="s">
        <v>160</v>
      </c>
      <c r="D188" s="3" t="n">
        <v>1.0</v>
      </c>
      <c r="E188" s="4" t="s">
        <v>31</v>
      </c>
      <c r="F188" s="4" t="s">
        <v>32</v>
      </c>
      <c r="G188" s="4" t="s">
        <v>33</v>
      </c>
      <c r="H188" s="5" t="n">
        <f>150.0</f>
        <v>150.0</v>
      </c>
    </row>
    <row r="189">
      <c r="A189" s="3" t="s">
        <v>141</v>
      </c>
      <c r="B189" s="4" t="s">
        <v>161</v>
      </c>
      <c r="C189" s="4" t="s">
        <v>162</v>
      </c>
      <c r="D189" s="3" t="n">
        <v>1.0</v>
      </c>
      <c r="E189" s="4" t="s">
        <v>107</v>
      </c>
      <c r="F189" s="4" t="s">
        <v>108</v>
      </c>
      <c r="G189" s="4" t="s">
        <v>109</v>
      </c>
      <c r="H189" s="5" t="n">
        <f>150.0</f>
        <v>150.0</v>
      </c>
    </row>
    <row r="190">
      <c r="A190" s="3" t="s">
        <v>141</v>
      </c>
      <c r="B190" s="4" t="s">
        <v>161</v>
      </c>
      <c r="C190" s="4" t="s">
        <v>162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150.0</f>
        <v>150.0</v>
      </c>
    </row>
    <row r="191">
      <c r="A191" s="3" t="s">
        <v>141</v>
      </c>
      <c r="B191" s="4" t="s">
        <v>163</v>
      </c>
      <c r="C191" s="4" t="s">
        <v>164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120.0</f>
        <v>120.0</v>
      </c>
    </row>
    <row r="192">
      <c r="A192" s="3" t="s">
        <v>141</v>
      </c>
      <c r="B192" s="4" t="s">
        <v>163</v>
      </c>
      <c r="C192" s="4" t="s">
        <v>164</v>
      </c>
      <c r="D192" s="3" t="n">
        <v>1.0</v>
      </c>
      <c r="E192" s="4" t="s">
        <v>31</v>
      </c>
      <c r="F192" s="4" t="s">
        <v>32</v>
      </c>
      <c r="G192" s="4" t="s">
        <v>33</v>
      </c>
      <c r="H192" s="5" t="n">
        <f>120.0</f>
        <v>120.0</v>
      </c>
    </row>
    <row r="193">
      <c r="A193" s="3" t="s">
        <v>141</v>
      </c>
      <c r="B193" s="4" t="s">
        <v>165</v>
      </c>
      <c r="C193" s="4" t="s">
        <v>166</v>
      </c>
      <c r="D193" s="3" t="n">
        <v>1.0</v>
      </c>
      <c r="E193" s="4" t="s">
        <v>148</v>
      </c>
      <c r="F193" s="4" t="s">
        <v>149</v>
      </c>
      <c r="G193" s="4" t="s">
        <v>150</v>
      </c>
      <c r="H193" s="5" t="n">
        <f>110.0</f>
        <v>110.0</v>
      </c>
    </row>
    <row r="194">
      <c r="A194" s="3" t="s">
        <v>141</v>
      </c>
      <c r="B194" s="4" t="s">
        <v>165</v>
      </c>
      <c r="C194" s="4" t="s">
        <v>166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110.0</f>
        <v>110.0</v>
      </c>
    </row>
    <row r="195">
      <c r="A195" s="3" t="s">
        <v>141</v>
      </c>
      <c r="B195" s="4" t="s">
        <v>167</v>
      </c>
      <c r="C195" s="4" t="s">
        <v>168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100.0</f>
        <v>100.0</v>
      </c>
    </row>
    <row r="196">
      <c r="A196" s="3" t="s">
        <v>141</v>
      </c>
      <c r="B196" s="4" t="s">
        <v>167</v>
      </c>
      <c r="C196" s="4" t="s">
        <v>168</v>
      </c>
      <c r="D196" s="3" t="n">
        <v>1.0</v>
      </c>
      <c r="E196" s="4" t="s">
        <v>31</v>
      </c>
      <c r="F196" s="4" t="s">
        <v>32</v>
      </c>
      <c r="G196" s="4" t="s">
        <v>33</v>
      </c>
      <c r="H196" s="5" t="n">
        <f>100.0</f>
        <v>100.0</v>
      </c>
    </row>
    <row r="197">
      <c r="A197" s="3" t="s">
        <v>141</v>
      </c>
      <c r="B197" s="4" t="s">
        <v>169</v>
      </c>
      <c r="C197" s="4" t="s">
        <v>170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100.0</f>
        <v>100.0</v>
      </c>
    </row>
    <row r="198">
      <c r="A198" s="3" t="s">
        <v>141</v>
      </c>
      <c r="B198" s="4" t="s">
        <v>169</v>
      </c>
      <c r="C198" s="4" t="s">
        <v>170</v>
      </c>
      <c r="D198" s="3" t="n">
        <v>1.0</v>
      </c>
      <c r="E198" s="4" t="s">
        <v>31</v>
      </c>
      <c r="F198" s="4" t="s">
        <v>32</v>
      </c>
      <c r="G198" s="4" t="s">
        <v>33</v>
      </c>
      <c r="H198" s="5" t="n">
        <f>100.0</f>
        <v>100.0</v>
      </c>
    </row>
    <row r="199">
      <c r="A199" s="3" t="s">
        <v>141</v>
      </c>
      <c r="B199" s="4" t="s">
        <v>171</v>
      </c>
      <c r="C199" s="4" t="s">
        <v>172</v>
      </c>
      <c r="D199" s="3" t="n">
        <v>1.0</v>
      </c>
      <c r="E199" s="4" t="s">
        <v>173</v>
      </c>
      <c r="F199" s="4" t="s">
        <v>174</v>
      </c>
      <c r="G199" s="4" t="s">
        <v>175</v>
      </c>
      <c r="H199" s="5" t="n">
        <f>100.0</f>
        <v>100.0</v>
      </c>
    </row>
    <row r="200">
      <c r="A200" s="3" t="s">
        <v>141</v>
      </c>
      <c r="B200" s="4" t="s">
        <v>171</v>
      </c>
      <c r="C200" s="4" t="s">
        <v>172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100.0</f>
        <v>100.0</v>
      </c>
    </row>
    <row r="201">
      <c r="A201" s="3" t="s">
        <v>141</v>
      </c>
      <c r="B201" s="4" t="s">
        <v>176</v>
      </c>
      <c r="C201" s="4" t="s">
        <v>177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95.0</f>
        <v>95.0</v>
      </c>
    </row>
    <row r="202">
      <c r="A202" s="3" t="s">
        <v>141</v>
      </c>
      <c r="B202" s="4" t="s">
        <v>176</v>
      </c>
      <c r="C202" s="4" t="s">
        <v>177</v>
      </c>
      <c r="D202" s="3" t="n">
        <v>1.0</v>
      </c>
      <c r="E202" s="4" t="s">
        <v>67</v>
      </c>
      <c r="F202" s="4" t="s">
        <v>68</v>
      </c>
      <c r="G202" s="4" t="s">
        <v>69</v>
      </c>
      <c r="H202" s="5" t="n">
        <f>95.0</f>
        <v>95.0</v>
      </c>
    </row>
    <row r="203">
      <c r="A203" s="3" t="s">
        <v>141</v>
      </c>
      <c r="B203" s="4" t="s">
        <v>178</v>
      </c>
      <c r="C203" s="4" t="s">
        <v>179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90.0</f>
        <v>90.0</v>
      </c>
    </row>
    <row r="204">
      <c r="A204" s="3" t="s">
        <v>141</v>
      </c>
      <c r="B204" s="4" t="s">
        <v>178</v>
      </c>
      <c r="C204" s="4" t="s">
        <v>179</v>
      </c>
      <c r="D204" s="3" t="n">
        <v>1.0</v>
      </c>
      <c r="E204" s="4" t="s">
        <v>31</v>
      </c>
      <c r="F204" s="4" t="s">
        <v>32</v>
      </c>
      <c r="G204" s="4" t="s">
        <v>33</v>
      </c>
      <c r="H204" s="5" t="n">
        <f>90.0</f>
        <v>90.0</v>
      </c>
    </row>
    <row r="205">
      <c r="A205" s="3" t="s">
        <v>141</v>
      </c>
      <c r="B205" s="4" t="s">
        <v>180</v>
      </c>
      <c r="C205" s="4" t="s">
        <v>181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82.0</f>
        <v>82.0</v>
      </c>
    </row>
    <row r="206">
      <c r="A206" s="3" t="s">
        <v>141</v>
      </c>
      <c r="B206" s="4" t="s">
        <v>180</v>
      </c>
      <c r="C206" s="4" t="s">
        <v>181</v>
      </c>
      <c r="D206" s="3" t="n">
        <v>1.0</v>
      </c>
      <c r="E206" s="4" t="s">
        <v>67</v>
      </c>
      <c r="F206" s="4" t="s">
        <v>68</v>
      </c>
      <c r="G206" s="4" t="s">
        <v>69</v>
      </c>
      <c r="H206" s="5" t="n">
        <f>82.0</f>
        <v>82.0</v>
      </c>
    </row>
    <row r="207">
      <c r="A207" s="3" t="s">
        <v>141</v>
      </c>
      <c r="B207" s="4" t="s">
        <v>182</v>
      </c>
      <c r="C207" s="4" t="s">
        <v>183</v>
      </c>
      <c r="D207" s="3" t="n">
        <v>1.0</v>
      </c>
      <c r="E207" s="4" t="s">
        <v>107</v>
      </c>
      <c r="F207" s="4" t="s">
        <v>108</v>
      </c>
      <c r="G207" s="4" t="s">
        <v>109</v>
      </c>
      <c r="H207" s="5" t="n">
        <f>80.0</f>
        <v>80.0</v>
      </c>
    </row>
    <row r="208">
      <c r="A208" s="3" t="s">
        <v>141</v>
      </c>
      <c r="B208" s="4" t="s">
        <v>182</v>
      </c>
      <c r="C208" s="4" t="s">
        <v>183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80.0</f>
        <v>80.0</v>
      </c>
    </row>
    <row r="209">
      <c r="A209" s="3" t="s">
        <v>141</v>
      </c>
      <c r="B209" s="4" t="s">
        <v>184</v>
      </c>
      <c r="C209" s="4" t="s">
        <v>185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61.0</f>
        <v>61.0</v>
      </c>
    </row>
    <row r="210">
      <c r="A210" s="3" t="s">
        <v>141</v>
      </c>
      <c r="B210" s="4" t="s">
        <v>184</v>
      </c>
      <c r="C210" s="4" t="s">
        <v>185</v>
      </c>
      <c r="D210" s="3" t="n">
        <v>1.0</v>
      </c>
      <c r="E210" s="4" t="s">
        <v>67</v>
      </c>
      <c r="F210" s="4" t="s">
        <v>68</v>
      </c>
      <c r="G210" s="4" t="s">
        <v>69</v>
      </c>
      <c r="H210" s="5" t="n">
        <f>61.0</f>
        <v>61.0</v>
      </c>
    </row>
    <row r="211">
      <c r="A211" s="3" t="s">
        <v>141</v>
      </c>
      <c r="B211" s="4" t="s">
        <v>186</v>
      </c>
      <c r="C211" s="4" t="s">
        <v>187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60.0</f>
        <v>60.0</v>
      </c>
    </row>
    <row r="212">
      <c r="A212" s="3" t="s">
        <v>141</v>
      </c>
      <c r="B212" s="4" t="s">
        <v>186</v>
      </c>
      <c r="C212" s="4" t="s">
        <v>187</v>
      </c>
      <c r="D212" s="3" t="n">
        <v>1.0</v>
      </c>
      <c r="E212" s="4" t="s">
        <v>67</v>
      </c>
      <c r="F212" s="4" t="s">
        <v>68</v>
      </c>
      <c r="G212" s="4" t="s">
        <v>69</v>
      </c>
      <c r="H212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