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<sst xmlns="http://schemas.openxmlformats.org/spreadsheetml/2006/main" count="1942" uniqueCount="210">
  <si>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</si>
  <si>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</si>
  <si>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</si>
  <si>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</si>
  <si>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</si>
  <si>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</si>
  <si>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</si>
  <si>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</si>
  <si>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</si>
  <si>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20260709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</si>
  <si>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</si>
  <si>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</si>
  <si>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</si>
  <si>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</si>
  <si>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</si>
  <si>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</si>
  <si>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</si>
  <si>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</si>
  <si>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</si>
  <si>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</si>
  <si>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</si>
  <si>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</si>
  <si>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</si>
  <si>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</si>
  <si>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</si>
  <si>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</si>
  <si>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</si>
  <si>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</si>
  <si>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</si>
  <si>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</si>
  <si>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</si>
  <si>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</si>
  <si>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</si>
  <si>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</si>
  <si>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</si>
  <si>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</si>
  <si>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</si>
  <si>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</si>
  <si>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</si>
  <si>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</si>
  <si>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</si>
  <si>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</si>
  <si>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</si>
  <si>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</si>
  <si>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</si>
  <si>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</si>
  <si>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</si>
  <si>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</si>
  <si>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</si>
  <si>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</si>
  <si>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</si>
  <si>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</si>
  <si>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12795</t>
  </si>
  <si>
    <t>インタラクティブ証券</t>
  </si>
  <si>
    <t>Interactive Brokers Securities Japan</t>
  </si>
  <si>
    <t>12057</t>
  </si>
  <si>
    <t>楽天証券</t>
  </si>
  <si>
    <t>Rakuten Securities</t>
  </si>
  <si>
    <t>12560</t>
  </si>
  <si>
    <t>松井証券</t>
  </si>
  <si>
    <t>MATSUI SECURITIES</t>
  </si>
  <si>
    <t>12328</t>
  </si>
  <si>
    <t>ＳＭＢＣ日興証券</t>
  </si>
  <si>
    <t>SMBC Nikko Securities</t>
  </si>
  <si>
    <t>11696</t>
  </si>
  <si>
    <t>みずほ証券</t>
  </si>
  <si>
    <t>Mizuho Securities</t>
  </si>
  <si>
    <t>11746</t>
  </si>
  <si>
    <t>ＵＢＳ証券</t>
  </si>
  <si>
    <t>UBS Securities Japan</t>
  </si>
  <si>
    <t>12000</t>
  </si>
  <si>
    <t>大和証券</t>
  </si>
  <si>
    <t>Daiwa Securities</t>
  </si>
  <si>
    <t>161120018</t>
  </si>
  <si>
    <t>NIKKEI 225 FUT 2612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</si>
  <si>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</si>
  <si>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</si>
  <si>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</si>
  <si>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</si>
  <si>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</si>
  <si>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</si>
  <si>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</si>
  <si>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161070019</t>
  </si>
  <si>
    <t>MINI NK225 FUT 2607</t>
  </si>
  <si>
    <t>11512</t>
  </si>
  <si>
    <t>光世証券</t>
  </si>
  <si>
    <t>The Kosei Securities</t>
  </si>
  <si>
    <t>12896</t>
  </si>
  <si>
    <t>豊証券</t>
  </si>
  <si>
    <t>The Yutaka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</si>
  <si>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</si>
  <si>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</si>
  <si>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</si>
  <si>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</si>
  <si>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</si>
  <si>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</si>
  <si>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161080019</t>
  </si>
  <si>
    <t>MINI NK225 FUT 2608</t>
  </si>
  <si>
    <t>12176</t>
  </si>
  <si>
    <t>ドイツ証券</t>
  </si>
  <si>
    <t>Deutsche Securities</t>
  </si>
  <si>
    <t>161090019</t>
  </si>
  <si>
    <t>MINI NK225 FUT 2609</t>
  </si>
  <si>
    <t>12464</t>
  </si>
  <si>
    <t>広田証券</t>
  </si>
  <si>
    <t>Hirota Securities</t>
  </si>
  <si>
    <t>TOPIXF</t>
  </si>
  <si>
    <t>161090005</t>
  </si>
  <si>
    <t>TOPIX FUT 2609</t>
  </si>
  <si>
    <t>12724</t>
  </si>
  <si>
    <t>ＨＳＢＣ証券</t>
  </si>
  <si>
    <t>HSBC Securities (Japan)</t>
  </si>
  <si>
    <t>NK225E</t>
  </si>
  <si>
    <t>181196718</t>
  </si>
  <si>
    <t>NIKKEI 225 OOP P2607-66750</t>
  </si>
  <si>
    <t>181076818</t>
  </si>
  <si>
    <t>NIKKEI 225 OOP P2607-66875</t>
  </si>
  <si>
    <t>131317018</t>
  </si>
  <si>
    <t>NIKKEI 225 OOP P2607-67000</t>
  </si>
  <si>
    <t>11544</t>
  </si>
  <si>
    <t>岩井コスモ証券</t>
  </si>
  <si>
    <t>IwaiCosmo Securities</t>
  </si>
  <si>
    <t>11056</t>
  </si>
  <si>
    <t>安藤証券</t>
  </si>
  <si>
    <t>ANDO SECURITIES</t>
  </si>
  <si>
    <t>181077118</t>
  </si>
  <si>
    <t>NIKKEI 225 OOP P2607-67125</t>
  </si>
  <si>
    <t>181197218</t>
  </si>
  <si>
    <t>NIKKEI 225 OOP P2607-67250</t>
  </si>
  <si>
    <t>181077318</t>
  </si>
  <si>
    <t>NIKKEI 225 OOP P2607-67375</t>
  </si>
  <si>
    <t>181197518</t>
  </si>
  <si>
    <t>NIKKEI 225 OOP P2607-67500</t>
  </si>
  <si>
    <t>181077618</t>
  </si>
  <si>
    <t>NIKKEI 225 OOP P2607-67625</t>
  </si>
  <si>
    <t>181197718</t>
  </si>
  <si>
    <t>NIKKEI 225 OOP P2607-67750</t>
  </si>
  <si>
    <t>181077818</t>
  </si>
  <si>
    <t>NIKKEI 225 OOP P2607-67875</t>
  </si>
  <si>
    <t>131318018</t>
  </si>
  <si>
    <t>NIKKEI 225 OOP P2607-68000</t>
  </si>
  <si>
    <t>191198718</t>
  </si>
  <si>
    <t>NIKKEI 225 OOP C2607-68750</t>
  </si>
  <si>
    <t>191078618</t>
  </si>
  <si>
    <t>NIKKEI 225 OOP C2607-68625</t>
  </si>
  <si>
    <t>191198518</t>
  </si>
  <si>
    <t>NIKKEI 225 OOP C2607-68500</t>
  </si>
  <si>
    <t>191078318</t>
  </si>
  <si>
    <t>NIKKEI 225 OOP C2607-68375</t>
  </si>
  <si>
    <t>191198218</t>
  </si>
  <si>
    <t>NIKKEI 225 OOP C2607-68250</t>
  </si>
  <si>
    <t>191078118</t>
  </si>
  <si>
    <t>NIKKEI 225 OOP C2607-68125</t>
  </si>
  <si>
    <t>141318018</t>
  </si>
  <si>
    <t>NIKKEI 225 OOP C2607-68000</t>
  </si>
  <si>
    <t>191077818</t>
  </si>
  <si>
    <t>NIKKEI 225 OOP C2607-67875</t>
  </si>
  <si>
    <t>191197718</t>
  </si>
  <si>
    <t>NIKKEI 225 OOP C2607-67750</t>
  </si>
  <si>
    <t>191077618</t>
  </si>
  <si>
    <t>NIKKEI 225 OOP C2607-67625</t>
  </si>
  <si>
    <t>191197518</t>
  </si>
  <si>
    <t>NIKKEI 225 OOP C2607-67500</t>
  </si>
  <si>
    <t>EQOP</t>
  </si>
  <si>
    <t>320151306</t>
  </si>
  <si>
    <t>1306 OOP C2608-450</t>
  </si>
  <si>
    <t>12240</t>
  </si>
  <si>
    <t>ムームー証券</t>
  </si>
  <si>
    <t>Moomoo Securities Japan</t>
  </si>
  <si>
    <t>319111321</t>
  </si>
  <si>
    <t>1321 OOP C2607-66000</t>
  </si>
  <si>
    <t>319101321</t>
  </si>
  <si>
    <t>1321 OOP C2607-65000</t>
  </si>
  <si>
    <t>320161321</t>
  </si>
  <si>
    <t>1321 OOP C2608-72000</t>
  </si>
  <si>
    <t>319151321</t>
  </si>
  <si>
    <t>1321 OOP C2607-70000</t>
  </si>
  <si>
    <t>320208306</t>
  </si>
  <si>
    <t>8306 OOP C2608-4000</t>
  </si>
  <si>
    <t>12072</t>
  </si>
  <si>
    <t>東海東京証券</t>
  </si>
  <si>
    <t>Tokai Tokyo Securities</t>
  </si>
  <si>
    <t>220137203</t>
  </si>
  <si>
    <t>7203 OOP P2608-2900</t>
  </si>
  <si>
    <t>320089984</t>
  </si>
  <si>
    <t>9984 OOP C2608-5500</t>
  </si>
  <si>
    <t>324259984</t>
  </si>
  <si>
    <t>9984 OOP C2612-5500</t>
  </si>
  <si>
    <t>320144063</t>
  </si>
  <si>
    <t>4063 OOP C2608-7500</t>
  </si>
  <si>
    <t>220069984</t>
  </si>
  <si>
    <t>9984 OOP P2608-5000</t>
  </si>
  <si>
    <t>220079984</t>
  </si>
  <si>
    <t>9984 OOP P2608-5250</t>
  </si>
  <si>
    <t>220106752</t>
  </si>
  <si>
    <t>6752 OOP P2608-3700</t>
  </si>
  <si>
    <t>220076301</t>
  </si>
  <si>
    <t>6301 OOP P2608-5500</t>
  </si>
  <si>
    <t>320099984</t>
  </si>
  <si>
    <t>9984 OOP C2608-5750</t>
  </si>
  <si>
    <t>320095803</t>
  </si>
  <si>
    <t>5803 OOP C2608-6000</t>
  </si>
  <si>
    <t>224038058</t>
  </si>
  <si>
    <t>8058 OOP P2612-4400</t>
  </si>
  <si>
    <t>319047011</t>
  </si>
  <si>
    <t>7011 OOP C2607-3800</t>
  </si>
  <si>
    <t>320086723</t>
  </si>
  <si>
    <t>6723 OOP C2608-5500</t>
  </si>
  <si>
    <t>321289984</t>
  </si>
  <si>
    <t>9984 OOP C2609-6500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</si>
</sst>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16981.0</f>
        <v>16981.0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12194.0</f>
        <v>12194.0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10759.0</f>
        <v>10759.0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3204.0</f>
        <v>3204.0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3030.0</f>
        <v>3030.0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2722.0</f>
        <v>2722.0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2369.0</f>
        <v>2369.0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2093.0</f>
        <v>2093.0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1861.0</f>
        <v>1861.0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1765.0</f>
        <v>1765.0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1388.0</f>
        <v>1388.0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1206.0</f>
        <v>1206.0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1189.0</f>
        <v>1189.0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815.0</f>
        <v>815.0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714.0</f>
        <v>714.0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625.0</f>
        <v>625.0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599.0</f>
        <v>599.0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568.0</f>
        <v>568.0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526.0</f>
        <v>526.0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468.0</f>
        <v>468.0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82.0</f>
        <v>82.0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63.0</f>
        <v>63.0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58</v>
      </c>
      <c r="F31" s="4" t="s">
        <v>59</v>
      </c>
      <c r="G31" s="4" t="s">
        <v>60</v>
      </c>
      <c r="H31" s="5" t="n">
        <f>44.0</f>
        <v>44.0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32.0</f>
        <v>32.0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19</v>
      </c>
      <c r="F33" s="4" t="s">
        <v>20</v>
      </c>
      <c r="G33" s="4" t="s">
        <v>21</v>
      </c>
      <c r="H33" s="5" t="n">
        <f>25.0</f>
        <v>25.0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14.0</f>
        <v>14.0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13.0</f>
        <v>13.0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7.0</f>
        <v>7.0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2.0</f>
        <v>2.0</v>
      </c>
    </row>
    <row r="39">
      <c r="A39" s="3" t="s">
        <v>81</v>
      </c>
      <c r="B39" s="4" t="s">
        <v>82</v>
      </c>
      <c r="C39" s="4" t="s">
        <v>83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10422.0</f>
        <v>10422.0</v>
      </c>
    </row>
    <row r="40">
      <c r="A40" s="3" t="s">
        <v>81</v>
      </c>
      <c r="B40" s="4" t="s">
        <v>82</v>
      </c>
      <c r="C40" s="4" t="s">
        <v>83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8368.0</f>
        <v>8368.0</v>
      </c>
    </row>
    <row r="41">
      <c r="A41" s="3" t="s">
        <v>81</v>
      </c>
      <c r="B41" s="4" t="s">
        <v>82</v>
      </c>
      <c r="C41" s="4" t="s">
        <v>83</v>
      </c>
      <c r="D41" s="3" t="n">
        <v>3.0</v>
      </c>
      <c r="E41" s="4" t="s">
        <v>28</v>
      </c>
      <c r="F41" s="4" t="s">
        <v>29</v>
      </c>
      <c r="G41" s="4" t="s">
        <v>30</v>
      </c>
      <c r="H41" s="5" t="n">
        <f>8060.0</f>
        <v>8060.0</v>
      </c>
    </row>
    <row r="42">
      <c r="A42" s="3" t="s">
        <v>81</v>
      </c>
      <c r="B42" s="4" t="s">
        <v>82</v>
      </c>
      <c r="C42" s="4" t="s">
        <v>83</v>
      </c>
      <c r="D42" s="3" t="n">
        <v>4.0</v>
      </c>
      <c r="E42" s="4" t="s">
        <v>19</v>
      </c>
      <c r="F42" s="4" t="s">
        <v>20</v>
      </c>
      <c r="G42" s="4" t="s">
        <v>21</v>
      </c>
      <c r="H42" s="5" t="n">
        <f>5596.0</f>
        <v>5596.0</v>
      </c>
    </row>
    <row r="43">
      <c r="A43" s="3" t="s">
        <v>81</v>
      </c>
      <c r="B43" s="4" t="s">
        <v>82</v>
      </c>
      <c r="C43" s="4" t="s">
        <v>83</v>
      </c>
      <c r="D43" s="3" t="n">
        <v>5.0</v>
      </c>
      <c r="E43" s="4" t="s">
        <v>67</v>
      </c>
      <c r="F43" s="4" t="s">
        <v>68</v>
      </c>
      <c r="G43" s="4" t="s">
        <v>69</v>
      </c>
      <c r="H43" s="5" t="n">
        <f>3216.0</f>
        <v>3216.0</v>
      </c>
    </row>
    <row r="44">
      <c r="A44" s="3" t="s">
        <v>81</v>
      </c>
      <c r="B44" s="4" t="s">
        <v>82</v>
      </c>
      <c r="C44" s="4" t="s">
        <v>83</v>
      </c>
      <c r="D44" s="3" t="n">
        <v>6.0</v>
      </c>
      <c r="E44" s="4" t="s">
        <v>61</v>
      </c>
      <c r="F44" s="4" t="s">
        <v>62</v>
      </c>
      <c r="G44" s="4" t="s">
        <v>63</v>
      </c>
      <c r="H44" s="5" t="n">
        <f>2279.0</f>
        <v>2279.0</v>
      </c>
    </row>
    <row r="45">
      <c r="A45" s="3" t="s">
        <v>81</v>
      </c>
      <c r="B45" s="4" t="s">
        <v>82</v>
      </c>
      <c r="C45" s="4" t="s">
        <v>83</v>
      </c>
      <c r="D45" s="3" t="n">
        <v>7.0</v>
      </c>
      <c r="E45" s="4" t="s">
        <v>46</v>
      </c>
      <c r="F45" s="4" t="s">
        <v>47</v>
      </c>
      <c r="G45" s="4" t="s">
        <v>48</v>
      </c>
      <c r="H45" s="5" t="n">
        <f>2103.0</f>
        <v>2103.0</v>
      </c>
    </row>
    <row r="46">
      <c r="A46" s="3" t="s">
        <v>81</v>
      </c>
      <c r="B46" s="4" t="s">
        <v>82</v>
      </c>
      <c r="C46" s="4" t="s">
        <v>83</v>
      </c>
      <c r="D46" s="3" t="n">
        <v>8.0</v>
      </c>
      <c r="E46" s="4" t="s">
        <v>84</v>
      </c>
      <c r="F46" s="4" t="s">
        <v>85</v>
      </c>
      <c r="G46" s="4" t="s">
        <v>86</v>
      </c>
      <c r="H46" s="5" t="n">
        <f>1840.0</f>
        <v>1840.0</v>
      </c>
    </row>
    <row r="47">
      <c r="A47" s="3" t="s">
        <v>81</v>
      </c>
      <c r="B47" s="4" t="s">
        <v>82</v>
      </c>
      <c r="C47" s="4" t="s">
        <v>83</v>
      </c>
      <c r="D47" s="3" t="n">
        <v>9.0</v>
      </c>
      <c r="E47" s="4" t="s">
        <v>55</v>
      </c>
      <c r="F47" s="4" t="s">
        <v>56</v>
      </c>
      <c r="G47" s="4" t="s">
        <v>57</v>
      </c>
      <c r="H47" s="5" t="n">
        <f>1273.0</f>
        <v>1273.0</v>
      </c>
    </row>
    <row r="48">
      <c r="A48" s="3" t="s">
        <v>81</v>
      </c>
      <c r="B48" s="4" t="s">
        <v>82</v>
      </c>
      <c r="C48" s="4" t="s">
        <v>83</v>
      </c>
      <c r="D48" s="3" t="n">
        <v>10.0</v>
      </c>
      <c r="E48" s="4" t="s">
        <v>37</v>
      </c>
      <c r="F48" s="4" t="s">
        <v>38</v>
      </c>
      <c r="G48" s="4" t="s">
        <v>39</v>
      </c>
      <c r="H48" s="5" t="n">
        <f>790.0</f>
        <v>790.0</v>
      </c>
    </row>
    <row r="49">
      <c r="A49" s="3" t="s">
        <v>81</v>
      </c>
      <c r="B49" s="4" t="s">
        <v>82</v>
      </c>
      <c r="C49" s="4" t="s">
        <v>83</v>
      </c>
      <c r="D49" s="3" t="n">
        <v>11.0</v>
      </c>
      <c r="E49" s="4" t="s">
        <v>87</v>
      </c>
      <c r="F49" s="4" t="s">
        <v>88</v>
      </c>
      <c r="G49" s="4" t="s">
        <v>89</v>
      </c>
      <c r="H49" s="5" t="n">
        <f>759.0</f>
        <v>759.0</v>
      </c>
    </row>
    <row r="50">
      <c r="A50" s="3" t="s">
        <v>81</v>
      </c>
      <c r="B50" s="4" t="s">
        <v>82</v>
      </c>
      <c r="C50" s="4" t="s">
        <v>83</v>
      </c>
      <c r="D50" s="3" t="n">
        <v>12.0</v>
      </c>
      <c r="E50" s="4" t="s">
        <v>34</v>
      </c>
      <c r="F50" s="4" t="s">
        <v>35</v>
      </c>
      <c r="G50" s="4" t="s">
        <v>36</v>
      </c>
      <c r="H50" s="5" t="n">
        <f>568.0</f>
        <v>568.0</v>
      </c>
    </row>
    <row r="51">
      <c r="A51" s="3" t="s">
        <v>81</v>
      </c>
      <c r="B51" s="4" t="s">
        <v>82</v>
      </c>
      <c r="C51" s="4" t="s">
        <v>83</v>
      </c>
      <c r="D51" s="3" t="n">
        <v>13.0</v>
      </c>
      <c r="E51" s="4" t="s">
        <v>25</v>
      </c>
      <c r="F51" s="4" t="s">
        <v>26</v>
      </c>
      <c r="G51" s="4" t="s">
        <v>27</v>
      </c>
      <c r="H51" s="5" t="n">
        <f>551.0</f>
        <v>551.0</v>
      </c>
    </row>
    <row r="52">
      <c r="A52" s="3" t="s">
        <v>81</v>
      </c>
      <c r="B52" s="4" t="s">
        <v>82</v>
      </c>
      <c r="C52" s="4" t="s">
        <v>83</v>
      </c>
      <c r="D52" s="3" t="n">
        <v>14.0</v>
      </c>
      <c r="E52" s="4" t="s">
        <v>90</v>
      </c>
      <c r="F52" s="4" t="s">
        <v>91</v>
      </c>
      <c r="G52" s="4" t="s">
        <v>92</v>
      </c>
      <c r="H52" s="5" t="n">
        <f>474.0</f>
        <v>474.0</v>
      </c>
    </row>
    <row r="53">
      <c r="A53" s="3" t="s">
        <v>81</v>
      </c>
      <c r="B53" s="4" t="s">
        <v>82</v>
      </c>
      <c r="C53" s="4" t="s">
        <v>83</v>
      </c>
      <c r="D53" s="3" t="n">
        <v>15.0</v>
      </c>
      <c r="E53" s="4" t="s">
        <v>43</v>
      </c>
      <c r="F53" s="4" t="s">
        <v>44</v>
      </c>
      <c r="G53" s="4" t="s">
        <v>45</v>
      </c>
      <c r="H53" s="5" t="n">
        <f>397.0</f>
        <v>397.0</v>
      </c>
    </row>
    <row r="54">
      <c r="A54" s="3" t="s">
        <v>81</v>
      </c>
      <c r="B54" s="4" t="s">
        <v>82</v>
      </c>
      <c r="C54" s="4" t="s">
        <v>83</v>
      </c>
      <c r="D54" s="3" t="n">
        <v>16.0</v>
      </c>
      <c r="E54" s="4" t="s">
        <v>64</v>
      </c>
      <c r="F54" s="4" t="s">
        <v>65</v>
      </c>
      <c r="G54" s="4" t="s">
        <v>66</v>
      </c>
      <c r="H54" s="5" t="n">
        <f>260.0</f>
        <v>260.0</v>
      </c>
    </row>
    <row r="55">
      <c r="A55" s="3" t="s">
        <v>81</v>
      </c>
      <c r="B55" s="4" t="s">
        <v>82</v>
      </c>
      <c r="C55" s="4" t="s">
        <v>83</v>
      </c>
      <c r="D55" s="3" t="n">
        <v>17.0</v>
      </c>
      <c r="E55" s="4" t="s">
        <v>78</v>
      </c>
      <c r="F55" s="4" t="s">
        <v>79</v>
      </c>
      <c r="G55" s="4" t="s">
        <v>80</v>
      </c>
      <c r="H55" s="5" t="n">
        <f>237.0</f>
        <v>237.0</v>
      </c>
    </row>
    <row r="56">
      <c r="A56" s="3" t="s">
        <v>81</v>
      </c>
      <c r="B56" s="4" t="s">
        <v>82</v>
      </c>
      <c r="C56" s="4" t="s">
        <v>83</v>
      </c>
      <c r="D56" s="3" t="n">
        <v>18.0</v>
      </c>
      <c r="E56" s="4" t="s">
        <v>58</v>
      </c>
      <c r="F56" s="4" t="s">
        <v>59</v>
      </c>
      <c r="G56" s="4" t="s">
        <v>60</v>
      </c>
      <c r="H56" s="5" t="n">
        <f>221.0</f>
        <v>221.0</v>
      </c>
    </row>
    <row r="57">
      <c r="A57" s="3" t="s">
        <v>81</v>
      </c>
      <c r="B57" s="4" t="s">
        <v>82</v>
      </c>
      <c r="C57" s="4" t="s">
        <v>83</v>
      </c>
      <c r="D57" s="3" t="n">
        <v>19.0</v>
      </c>
      <c r="E57" s="4" t="s">
        <v>93</v>
      </c>
      <c r="F57" s="4" t="s">
        <v>94</v>
      </c>
      <c r="G57" s="4" t="s">
        <v>95</v>
      </c>
      <c r="H57" s="5" t="n">
        <f>220.0</f>
        <v>220.0</v>
      </c>
    </row>
    <row r="58">
      <c r="A58" s="3" t="s">
        <v>81</v>
      </c>
      <c r="B58" s="4" t="s">
        <v>82</v>
      </c>
      <c r="C58" s="4" t="s">
        <v>83</v>
      </c>
      <c r="D58" s="3" t="n">
        <v>20.0</v>
      </c>
      <c r="E58" s="4" t="s">
        <v>70</v>
      </c>
      <c r="F58" s="4" t="s">
        <v>71</v>
      </c>
      <c r="G58" s="4" t="s">
        <v>72</v>
      </c>
      <c r="H58" s="5" t="n">
        <f>200.0</f>
        <v>200.0</v>
      </c>
    </row>
    <row r="59">
      <c r="A59" s="3" t="s">
        <v>81</v>
      </c>
      <c r="B59" s="4" t="s">
        <v>96</v>
      </c>
      <c r="C59" s="4" t="s">
        <v>97</v>
      </c>
      <c r="D59" s="3" t="n">
        <v>1.0</v>
      </c>
      <c r="E59" s="4" t="s">
        <v>16</v>
      </c>
      <c r="F59" s="4" t="s">
        <v>17</v>
      </c>
      <c r="G59" s="4" t="s">
        <v>18</v>
      </c>
      <c r="H59" s="5" t="n">
        <f>1303.0</f>
        <v>1303.0</v>
      </c>
    </row>
    <row r="60">
      <c r="A60" s="3" t="s">
        <v>81</v>
      </c>
      <c r="B60" s="4" t="s">
        <v>96</v>
      </c>
      <c r="C60" s="4" t="s">
        <v>97</v>
      </c>
      <c r="D60" s="3" t="n">
        <v>2.0</v>
      </c>
      <c r="E60" s="4" t="s">
        <v>13</v>
      </c>
      <c r="F60" s="4" t="s">
        <v>14</v>
      </c>
      <c r="G60" s="4" t="s">
        <v>15</v>
      </c>
      <c r="H60" s="5" t="n">
        <f>1075.0</f>
        <v>1075.0</v>
      </c>
    </row>
    <row r="61">
      <c r="A61" s="3" t="s">
        <v>81</v>
      </c>
      <c r="B61" s="4" t="s">
        <v>96</v>
      </c>
      <c r="C61" s="4" t="s">
        <v>97</v>
      </c>
      <c r="D61" s="3" t="n">
        <v>3.0</v>
      </c>
      <c r="E61" s="4" t="s">
        <v>46</v>
      </c>
      <c r="F61" s="4" t="s">
        <v>47</v>
      </c>
      <c r="G61" s="4" t="s">
        <v>48</v>
      </c>
      <c r="H61" s="5" t="n">
        <f>432.0</f>
        <v>432.0</v>
      </c>
    </row>
    <row r="62">
      <c r="A62" s="3" t="s">
        <v>81</v>
      </c>
      <c r="B62" s="4" t="s">
        <v>96</v>
      </c>
      <c r="C62" s="4" t="s">
        <v>97</v>
      </c>
      <c r="D62" s="3" t="n">
        <v>4.0</v>
      </c>
      <c r="E62" s="4" t="s">
        <v>55</v>
      </c>
      <c r="F62" s="4" t="s">
        <v>56</v>
      </c>
      <c r="G62" s="4" t="s">
        <v>57</v>
      </c>
      <c r="H62" s="5" t="n">
        <f>402.0</f>
        <v>402.0</v>
      </c>
    </row>
    <row r="63">
      <c r="A63" s="3" t="s">
        <v>81</v>
      </c>
      <c r="B63" s="4" t="s">
        <v>96</v>
      </c>
      <c r="C63" s="4" t="s">
        <v>97</v>
      </c>
      <c r="D63" s="3" t="n">
        <v>5.0</v>
      </c>
      <c r="E63" s="4" t="s">
        <v>75</v>
      </c>
      <c r="F63" s="4" t="s">
        <v>76</v>
      </c>
      <c r="G63" s="4" t="s">
        <v>77</v>
      </c>
      <c r="H63" s="5" t="n">
        <f>353.0</f>
        <v>353.0</v>
      </c>
    </row>
    <row r="64">
      <c r="A64" s="3" t="s">
        <v>81</v>
      </c>
      <c r="B64" s="4" t="s">
        <v>96</v>
      </c>
      <c r="C64" s="4" t="s">
        <v>97</v>
      </c>
      <c r="D64" s="3" t="n">
        <v>6.0</v>
      </c>
      <c r="E64" s="4" t="s">
        <v>52</v>
      </c>
      <c r="F64" s="4" t="s">
        <v>53</v>
      </c>
      <c r="G64" s="4" t="s">
        <v>54</v>
      </c>
      <c r="H64" s="5" t="n">
        <f>137.0</f>
        <v>137.0</v>
      </c>
    </row>
    <row r="65">
      <c r="A65" s="3" t="s">
        <v>81</v>
      </c>
      <c r="B65" s="4" t="s">
        <v>96</v>
      </c>
      <c r="C65" s="4" t="s">
        <v>97</v>
      </c>
      <c r="D65" s="3" t="n">
        <v>7.0</v>
      </c>
      <c r="E65" s="4" t="s">
        <v>90</v>
      </c>
      <c r="F65" s="4" t="s">
        <v>91</v>
      </c>
      <c r="G65" s="4" t="s">
        <v>92</v>
      </c>
      <c r="H65" s="5" t="n">
        <f>136.0</f>
        <v>136.0</v>
      </c>
    </row>
    <row r="66">
      <c r="A66" s="3" t="s">
        <v>81</v>
      </c>
      <c r="B66" s="4" t="s">
        <v>96</v>
      </c>
      <c r="C66" s="4" t="s">
        <v>97</v>
      </c>
      <c r="D66" s="3" t="n">
        <v>8.0</v>
      </c>
      <c r="E66" s="4" t="s">
        <v>78</v>
      </c>
      <c r="F66" s="4" t="s">
        <v>79</v>
      </c>
      <c r="G66" s="4" t="s">
        <v>80</v>
      </c>
      <c r="H66" s="5" t="n">
        <f>117.0</f>
        <v>117.0</v>
      </c>
    </row>
    <row r="67">
      <c r="A67" s="3" t="s">
        <v>81</v>
      </c>
      <c r="B67" s="4" t="s">
        <v>96</v>
      </c>
      <c r="C67" s="4" t="s">
        <v>97</v>
      </c>
      <c r="D67" s="3" t="n">
        <v>8.0</v>
      </c>
      <c r="E67" s="4" t="s">
        <v>43</v>
      </c>
      <c r="F67" s="4" t="s">
        <v>44</v>
      </c>
      <c r="G67" s="4" t="s">
        <v>45</v>
      </c>
      <c r="H67" s="5" t="n">
        <f>117.0</f>
        <v>117.0</v>
      </c>
    </row>
    <row r="68">
      <c r="A68" s="3" t="s">
        <v>81</v>
      </c>
      <c r="B68" s="4" t="s">
        <v>96</v>
      </c>
      <c r="C68" s="4" t="s">
        <v>97</v>
      </c>
      <c r="D68" s="3" t="n">
        <v>10.0</v>
      </c>
      <c r="E68" s="4" t="s">
        <v>58</v>
      </c>
      <c r="F68" s="4" t="s">
        <v>59</v>
      </c>
      <c r="G68" s="4" t="s">
        <v>60</v>
      </c>
      <c r="H68" s="5" t="n">
        <f>102.0</f>
        <v>102.0</v>
      </c>
    </row>
    <row r="69">
      <c r="A69" s="3" t="s">
        <v>81</v>
      </c>
      <c r="B69" s="4" t="s">
        <v>96</v>
      </c>
      <c r="C69" s="4" t="s">
        <v>97</v>
      </c>
      <c r="D69" s="3" t="n">
        <v>11.0</v>
      </c>
      <c r="E69" s="4" t="s">
        <v>25</v>
      </c>
      <c r="F69" s="4" t="s">
        <v>26</v>
      </c>
      <c r="G69" s="4" t="s">
        <v>27</v>
      </c>
      <c r="H69" s="5" t="n">
        <f>58.0</f>
        <v>58.0</v>
      </c>
    </row>
    <row r="70">
      <c r="A70" s="3" t="s">
        <v>81</v>
      </c>
      <c r="B70" s="4" t="s">
        <v>96</v>
      </c>
      <c r="C70" s="4" t="s">
        <v>97</v>
      </c>
      <c r="D70" s="3" t="n">
        <v>12.0</v>
      </c>
      <c r="E70" s="4" t="s">
        <v>98</v>
      </c>
      <c r="F70" s="4" t="s">
        <v>99</v>
      </c>
      <c r="G70" s="4" t="s">
        <v>100</v>
      </c>
      <c r="H70" s="5" t="n">
        <f>18.0</f>
        <v>18.0</v>
      </c>
    </row>
    <row r="71">
      <c r="A71" s="3" t="s">
        <v>81</v>
      </c>
      <c r="B71" s="4" t="s">
        <v>96</v>
      </c>
      <c r="C71" s="4" t="s">
        <v>97</v>
      </c>
      <c r="D71" s="3" t="n">
        <v>13.0</v>
      </c>
      <c r="E71" s="4" t="s">
        <v>34</v>
      </c>
      <c r="F71" s="4" t="s">
        <v>35</v>
      </c>
      <c r="G71" s="4" t="s">
        <v>36</v>
      </c>
      <c r="H71" s="5" t="n">
        <f>16.0</f>
        <v>16.0</v>
      </c>
    </row>
    <row r="72">
      <c r="A72" s="3" t="s">
        <v>81</v>
      </c>
      <c r="B72" s="4" t="s">
        <v>96</v>
      </c>
      <c r="C72" s="4" t="s">
        <v>97</v>
      </c>
      <c r="D72" s="3" t="n">
        <v>14.0</v>
      </c>
      <c r="E72" s="4" t="s">
        <v>19</v>
      </c>
      <c r="F72" s="4" t="s">
        <v>20</v>
      </c>
      <c r="G72" s="4" t="s">
        <v>21</v>
      </c>
      <c r="H72" s="5" t="n">
        <f>4.0</f>
        <v>4.0</v>
      </c>
    </row>
    <row r="73">
      <c r="A73" s="3" t="s">
        <v>81</v>
      </c>
      <c r="B73" s="4" t="s">
        <v>96</v>
      </c>
      <c r="C73" s="4" t="s">
        <v>97</v>
      </c>
      <c r="D73" s="3" t="n">
        <v>15.0</v>
      </c>
      <c r="E73" s="4" t="s">
        <v>84</v>
      </c>
      <c r="F73" s="4" t="s">
        <v>85</v>
      </c>
      <c r="G73" s="4" t="s">
        <v>86</v>
      </c>
      <c r="H73" s="5" t="n">
        <f>1.0</f>
        <v>1.0</v>
      </c>
    </row>
    <row r="74">
      <c r="A74" s="3" t="s">
        <v>81</v>
      </c>
      <c r="B74" s="4" t="s">
        <v>96</v>
      </c>
      <c r="C74" s="4" t="s">
        <v>97</v>
      </c>
      <c r="D74" s="3" t="n">
        <v>15.0</v>
      </c>
      <c r="E74" s="4" t="s">
        <v>49</v>
      </c>
      <c r="F74" s="4" t="s">
        <v>50</v>
      </c>
      <c r="G74" s="4" t="s">
        <v>51</v>
      </c>
      <c r="H74" s="5" t="n">
        <f>1.0</f>
        <v>1.0</v>
      </c>
    </row>
    <row r="75">
      <c r="A75" s="3" t="s">
        <v>81</v>
      </c>
      <c r="B75" s="4" t="s">
        <v>101</v>
      </c>
      <c r="C75" s="4" t="s">
        <v>102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274922.0</f>
        <v>274922.0</v>
      </c>
    </row>
    <row r="76">
      <c r="A76" s="3" t="s">
        <v>81</v>
      </c>
      <c r="B76" s="4" t="s">
        <v>101</v>
      </c>
      <c r="C76" s="4" t="s">
        <v>102</v>
      </c>
      <c r="D76" s="3" t="n">
        <v>2.0</v>
      </c>
      <c r="E76" s="4" t="s">
        <v>16</v>
      </c>
      <c r="F76" s="4" t="s">
        <v>17</v>
      </c>
      <c r="G76" s="4" t="s">
        <v>18</v>
      </c>
      <c r="H76" s="5" t="n">
        <f>147008.0</f>
        <v>147008.0</v>
      </c>
    </row>
    <row r="77">
      <c r="A77" s="3" t="s">
        <v>81</v>
      </c>
      <c r="B77" s="4" t="s">
        <v>101</v>
      </c>
      <c r="C77" s="4" t="s">
        <v>102</v>
      </c>
      <c r="D77" s="3" t="n">
        <v>3.0</v>
      </c>
      <c r="E77" s="4" t="s">
        <v>19</v>
      </c>
      <c r="F77" s="4" t="s">
        <v>20</v>
      </c>
      <c r="G77" s="4" t="s">
        <v>21</v>
      </c>
      <c r="H77" s="5" t="n">
        <f>112281.0</f>
        <v>112281.0</v>
      </c>
    </row>
    <row r="78">
      <c r="A78" s="3" t="s">
        <v>81</v>
      </c>
      <c r="B78" s="4" t="s">
        <v>101</v>
      </c>
      <c r="C78" s="4" t="s">
        <v>102</v>
      </c>
      <c r="D78" s="3" t="n">
        <v>4.0</v>
      </c>
      <c r="E78" s="4" t="s">
        <v>46</v>
      </c>
      <c r="F78" s="4" t="s">
        <v>47</v>
      </c>
      <c r="G78" s="4" t="s">
        <v>48</v>
      </c>
      <c r="H78" s="5" t="n">
        <f>35909.0</f>
        <v>35909.0</v>
      </c>
    </row>
    <row r="79">
      <c r="A79" s="3" t="s">
        <v>81</v>
      </c>
      <c r="B79" s="4" t="s">
        <v>101</v>
      </c>
      <c r="C79" s="4" t="s">
        <v>102</v>
      </c>
      <c r="D79" s="3" t="n">
        <v>5.0</v>
      </c>
      <c r="E79" s="4" t="s">
        <v>55</v>
      </c>
      <c r="F79" s="4" t="s">
        <v>56</v>
      </c>
      <c r="G79" s="4" t="s">
        <v>57</v>
      </c>
      <c r="H79" s="5" t="n">
        <f>28210.0</f>
        <v>28210.0</v>
      </c>
    </row>
    <row r="80">
      <c r="A80" s="3" t="s">
        <v>81</v>
      </c>
      <c r="B80" s="4" t="s">
        <v>101</v>
      </c>
      <c r="C80" s="4" t="s">
        <v>102</v>
      </c>
      <c r="D80" s="3" t="n">
        <v>6.0</v>
      </c>
      <c r="E80" s="4" t="s">
        <v>43</v>
      </c>
      <c r="F80" s="4" t="s">
        <v>44</v>
      </c>
      <c r="G80" s="4" t="s">
        <v>45</v>
      </c>
      <c r="H80" s="5" t="n">
        <f>26306.0</f>
        <v>26306.0</v>
      </c>
    </row>
    <row r="81">
      <c r="A81" s="3" t="s">
        <v>81</v>
      </c>
      <c r="B81" s="4" t="s">
        <v>101</v>
      </c>
      <c r="C81" s="4" t="s">
        <v>102</v>
      </c>
      <c r="D81" s="3" t="n">
        <v>7.0</v>
      </c>
      <c r="E81" s="4" t="s">
        <v>58</v>
      </c>
      <c r="F81" s="4" t="s">
        <v>59</v>
      </c>
      <c r="G81" s="4" t="s">
        <v>60</v>
      </c>
      <c r="H81" s="5" t="n">
        <f>24887.0</f>
        <v>24887.0</v>
      </c>
    </row>
    <row r="82">
      <c r="A82" s="3" t="s">
        <v>81</v>
      </c>
      <c r="B82" s="4" t="s">
        <v>101</v>
      </c>
      <c r="C82" s="4" t="s">
        <v>102</v>
      </c>
      <c r="D82" s="3" t="n">
        <v>8.0</v>
      </c>
      <c r="E82" s="4" t="s">
        <v>22</v>
      </c>
      <c r="F82" s="4" t="s">
        <v>23</v>
      </c>
      <c r="G82" s="4" t="s">
        <v>24</v>
      </c>
      <c r="H82" s="5" t="n">
        <f>17295.0</f>
        <v>17295.0</v>
      </c>
    </row>
    <row r="83">
      <c r="A83" s="3" t="s">
        <v>81</v>
      </c>
      <c r="B83" s="4" t="s">
        <v>101</v>
      </c>
      <c r="C83" s="4" t="s">
        <v>102</v>
      </c>
      <c r="D83" s="3" t="n">
        <v>9.0</v>
      </c>
      <c r="E83" s="4" t="s">
        <v>25</v>
      </c>
      <c r="F83" s="4" t="s">
        <v>26</v>
      </c>
      <c r="G83" s="4" t="s">
        <v>27</v>
      </c>
      <c r="H83" s="5" t="n">
        <f>9546.0</f>
        <v>9546.0</v>
      </c>
    </row>
    <row r="84">
      <c r="A84" s="3" t="s">
        <v>81</v>
      </c>
      <c r="B84" s="4" t="s">
        <v>101</v>
      </c>
      <c r="C84" s="4" t="s">
        <v>102</v>
      </c>
      <c r="D84" s="3" t="n">
        <v>10.0</v>
      </c>
      <c r="E84" s="4" t="s">
        <v>90</v>
      </c>
      <c r="F84" s="4" t="s">
        <v>91</v>
      </c>
      <c r="G84" s="4" t="s">
        <v>92</v>
      </c>
      <c r="H84" s="5" t="n">
        <f>8454.0</f>
        <v>8454.0</v>
      </c>
    </row>
    <row r="85">
      <c r="A85" s="3" t="s">
        <v>81</v>
      </c>
      <c r="B85" s="4" t="s">
        <v>101</v>
      </c>
      <c r="C85" s="4" t="s">
        <v>102</v>
      </c>
      <c r="D85" s="3" t="n">
        <v>11.0</v>
      </c>
      <c r="E85" s="4" t="s">
        <v>34</v>
      </c>
      <c r="F85" s="4" t="s">
        <v>35</v>
      </c>
      <c r="G85" s="4" t="s">
        <v>36</v>
      </c>
      <c r="H85" s="5" t="n">
        <f>7840.0</f>
        <v>7840.0</v>
      </c>
    </row>
    <row r="86">
      <c r="A86" s="3" t="s">
        <v>81</v>
      </c>
      <c r="B86" s="4" t="s">
        <v>101</v>
      </c>
      <c r="C86" s="4" t="s">
        <v>102</v>
      </c>
      <c r="D86" s="3" t="n">
        <v>12.0</v>
      </c>
      <c r="E86" s="4" t="s">
        <v>40</v>
      </c>
      <c r="F86" s="4" t="s">
        <v>41</v>
      </c>
      <c r="G86" s="4" t="s">
        <v>42</v>
      </c>
      <c r="H86" s="5" t="n">
        <f>6439.0</f>
        <v>6439.0</v>
      </c>
    </row>
    <row r="87">
      <c r="A87" s="3" t="s">
        <v>81</v>
      </c>
      <c r="B87" s="4" t="s">
        <v>101</v>
      </c>
      <c r="C87" s="4" t="s">
        <v>102</v>
      </c>
      <c r="D87" s="3" t="n">
        <v>13.0</v>
      </c>
      <c r="E87" s="4" t="s">
        <v>78</v>
      </c>
      <c r="F87" s="4" t="s">
        <v>79</v>
      </c>
      <c r="G87" s="4" t="s">
        <v>80</v>
      </c>
      <c r="H87" s="5" t="n">
        <f>5250.0</f>
        <v>5250.0</v>
      </c>
    </row>
    <row r="88">
      <c r="A88" s="3" t="s">
        <v>81</v>
      </c>
      <c r="B88" s="4" t="s">
        <v>101</v>
      </c>
      <c r="C88" s="4" t="s">
        <v>102</v>
      </c>
      <c r="D88" s="3" t="n">
        <v>14.0</v>
      </c>
      <c r="E88" s="4" t="s">
        <v>67</v>
      </c>
      <c r="F88" s="4" t="s">
        <v>68</v>
      </c>
      <c r="G88" s="4" t="s">
        <v>69</v>
      </c>
      <c r="H88" s="5" t="n">
        <f>4826.0</f>
        <v>4826.0</v>
      </c>
    </row>
    <row r="89">
      <c r="A89" s="3" t="s">
        <v>81</v>
      </c>
      <c r="B89" s="4" t="s">
        <v>101</v>
      </c>
      <c r="C89" s="4" t="s">
        <v>102</v>
      </c>
      <c r="D89" s="3" t="n">
        <v>15.0</v>
      </c>
      <c r="E89" s="4" t="s">
        <v>61</v>
      </c>
      <c r="F89" s="4" t="s">
        <v>62</v>
      </c>
      <c r="G89" s="4" t="s">
        <v>63</v>
      </c>
      <c r="H89" s="5" t="n">
        <f>4522.0</f>
        <v>4522.0</v>
      </c>
    </row>
    <row r="90">
      <c r="A90" s="3" t="s">
        <v>81</v>
      </c>
      <c r="B90" s="4" t="s">
        <v>101</v>
      </c>
      <c r="C90" s="4" t="s">
        <v>102</v>
      </c>
      <c r="D90" s="3" t="n">
        <v>16.0</v>
      </c>
      <c r="E90" s="4" t="s">
        <v>28</v>
      </c>
      <c r="F90" s="4" t="s">
        <v>29</v>
      </c>
      <c r="G90" s="4" t="s">
        <v>30</v>
      </c>
      <c r="H90" s="5" t="n">
        <f>4343.0</f>
        <v>4343.0</v>
      </c>
    </row>
    <row r="91">
      <c r="A91" s="3" t="s">
        <v>81</v>
      </c>
      <c r="B91" s="4" t="s">
        <v>101</v>
      </c>
      <c r="C91" s="4" t="s">
        <v>102</v>
      </c>
      <c r="D91" s="3" t="n">
        <v>17.0</v>
      </c>
      <c r="E91" s="4" t="s">
        <v>49</v>
      </c>
      <c r="F91" s="4" t="s">
        <v>50</v>
      </c>
      <c r="G91" s="4" t="s">
        <v>51</v>
      </c>
      <c r="H91" s="5" t="n">
        <f>4337.0</f>
        <v>4337.0</v>
      </c>
    </row>
    <row r="92">
      <c r="A92" s="3" t="s">
        <v>81</v>
      </c>
      <c r="B92" s="4" t="s">
        <v>101</v>
      </c>
      <c r="C92" s="4" t="s">
        <v>102</v>
      </c>
      <c r="D92" s="3" t="n">
        <v>18.0</v>
      </c>
      <c r="E92" s="4" t="s">
        <v>64</v>
      </c>
      <c r="F92" s="4" t="s">
        <v>65</v>
      </c>
      <c r="G92" s="4" t="s">
        <v>66</v>
      </c>
      <c r="H92" s="5" t="n">
        <f>3638.0</f>
        <v>3638.0</v>
      </c>
    </row>
    <row r="93">
      <c r="A93" s="3" t="s">
        <v>81</v>
      </c>
      <c r="B93" s="4" t="s">
        <v>101</v>
      </c>
      <c r="C93" s="4" t="s">
        <v>102</v>
      </c>
      <c r="D93" s="3" t="n">
        <v>19.0</v>
      </c>
      <c r="E93" s="4" t="s">
        <v>103</v>
      </c>
      <c r="F93" s="4" t="s">
        <v>104</v>
      </c>
      <c r="G93" s="4" t="s">
        <v>105</v>
      </c>
      <c r="H93" s="5" t="n">
        <f>3084.0</f>
        <v>3084.0</v>
      </c>
    </row>
    <row r="94">
      <c r="A94" s="3" t="s">
        <v>81</v>
      </c>
      <c r="B94" s="4" t="s">
        <v>101</v>
      </c>
      <c r="C94" s="4" t="s">
        <v>102</v>
      </c>
      <c r="D94" s="3" t="n">
        <v>20.0</v>
      </c>
      <c r="E94" s="4" t="s">
        <v>31</v>
      </c>
      <c r="F94" s="4" t="s">
        <v>32</v>
      </c>
      <c r="G94" s="4" t="s">
        <v>33</v>
      </c>
      <c r="H94" s="5" t="n">
        <f>2664.0</f>
        <v>2664.0</v>
      </c>
    </row>
    <row r="95">
      <c r="A95" s="3" t="s">
        <v>106</v>
      </c>
      <c r="B95" s="4" t="s">
        <v>107</v>
      </c>
      <c r="C95" s="4" t="s">
        <v>108</v>
      </c>
      <c r="D95" s="3" t="n">
        <v>1.0</v>
      </c>
      <c r="E95" s="4" t="s">
        <v>16</v>
      </c>
      <c r="F95" s="4" t="s">
        <v>17</v>
      </c>
      <c r="G95" s="4" t="s">
        <v>18</v>
      </c>
      <c r="H95" s="5" t="n">
        <f>17917.0</f>
        <v>17917.0</v>
      </c>
    </row>
    <row r="96">
      <c r="A96" s="3" t="s">
        <v>106</v>
      </c>
      <c r="B96" s="4" t="s">
        <v>107</v>
      </c>
      <c r="C96" s="4" t="s">
        <v>108</v>
      </c>
      <c r="D96" s="3" t="n">
        <v>2.0</v>
      </c>
      <c r="E96" s="4" t="s">
        <v>19</v>
      </c>
      <c r="F96" s="4" t="s">
        <v>20</v>
      </c>
      <c r="G96" s="4" t="s">
        <v>21</v>
      </c>
      <c r="H96" s="5" t="n">
        <f>17451.0</f>
        <v>17451.0</v>
      </c>
    </row>
    <row r="97">
      <c r="A97" s="3" t="s">
        <v>106</v>
      </c>
      <c r="B97" s="4" t="s">
        <v>107</v>
      </c>
      <c r="C97" s="4" t="s">
        <v>108</v>
      </c>
      <c r="D97" s="3" t="n">
        <v>3.0</v>
      </c>
      <c r="E97" s="4" t="s">
        <v>13</v>
      </c>
      <c r="F97" s="4" t="s">
        <v>14</v>
      </c>
      <c r="G97" s="4" t="s">
        <v>15</v>
      </c>
      <c r="H97" s="5" t="n">
        <f>13831.0</f>
        <v>13831.0</v>
      </c>
    </row>
    <row r="98">
      <c r="A98" s="3" t="s">
        <v>106</v>
      </c>
      <c r="B98" s="4" t="s">
        <v>107</v>
      </c>
      <c r="C98" s="4" t="s">
        <v>108</v>
      </c>
      <c r="D98" s="3" t="n">
        <v>4.0</v>
      </c>
      <c r="E98" s="4" t="s">
        <v>25</v>
      </c>
      <c r="F98" s="4" t="s">
        <v>26</v>
      </c>
      <c r="G98" s="4" t="s">
        <v>27</v>
      </c>
      <c r="H98" s="5" t="n">
        <f>5342.0</f>
        <v>5342.0</v>
      </c>
    </row>
    <row r="99">
      <c r="A99" s="3" t="s">
        <v>106</v>
      </c>
      <c r="B99" s="4" t="s">
        <v>107</v>
      </c>
      <c r="C99" s="4" t="s">
        <v>108</v>
      </c>
      <c r="D99" s="3" t="n">
        <v>5.0</v>
      </c>
      <c r="E99" s="4" t="s">
        <v>40</v>
      </c>
      <c r="F99" s="4" t="s">
        <v>41</v>
      </c>
      <c r="G99" s="4" t="s">
        <v>42</v>
      </c>
      <c r="H99" s="5" t="n">
        <f>3569.0</f>
        <v>3569.0</v>
      </c>
    </row>
    <row r="100">
      <c r="A100" s="3" t="s">
        <v>106</v>
      </c>
      <c r="B100" s="4" t="s">
        <v>107</v>
      </c>
      <c r="C100" s="4" t="s">
        <v>108</v>
      </c>
      <c r="D100" s="3" t="n">
        <v>6.0</v>
      </c>
      <c r="E100" s="4" t="s">
        <v>34</v>
      </c>
      <c r="F100" s="4" t="s">
        <v>35</v>
      </c>
      <c r="G100" s="4" t="s">
        <v>36</v>
      </c>
      <c r="H100" s="5" t="n">
        <f>2443.0</f>
        <v>2443.0</v>
      </c>
    </row>
    <row r="101">
      <c r="A101" s="3" t="s">
        <v>106</v>
      </c>
      <c r="B101" s="4" t="s">
        <v>107</v>
      </c>
      <c r="C101" s="4" t="s">
        <v>108</v>
      </c>
      <c r="D101" s="3" t="n">
        <v>7.0</v>
      </c>
      <c r="E101" s="4" t="s">
        <v>28</v>
      </c>
      <c r="F101" s="4" t="s">
        <v>29</v>
      </c>
      <c r="G101" s="4" t="s">
        <v>30</v>
      </c>
      <c r="H101" s="5" t="n">
        <f>2356.0</f>
        <v>2356.0</v>
      </c>
    </row>
    <row r="102">
      <c r="A102" s="3" t="s">
        <v>106</v>
      </c>
      <c r="B102" s="4" t="s">
        <v>107</v>
      </c>
      <c r="C102" s="4" t="s">
        <v>108</v>
      </c>
      <c r="D102" s="3" t="n">
        <v>8.0</v>
      </c>
      <c r="E102" s="4" t="s">
        <v>22</v>
      </c>
      <c r="F102" s="4" t="s">
        <v>23</v>
      </c>
      <c r="G102" s="4" t="s">
        <v>24</v>
      </c>
      <c r="H102" s="5" t="n">
        <f>1860.0</f>
        <v>1860.0</v>
      </c>
    </row>
    <row r="103">
      <c r="A103" s="3" t="s">
        <v>106</v>
      </c>
      <c r="B103" s="4" t="s">
        <v>107</v>
      </c>
      <c r="C103" s="4" t="s">
        <v>108</v>
      </c>
      <c r="D103" s="3" t="n">
        <v>9.0</v>
      </c>
      <c r="E103" s="4" t="s">
        <v>31</v>
      </c>
      <c r="F103" s="4" t="s">
        <v>32</v>
      </c>
      <c r="G103" s="4" t="s">
        <v>33</v>
      </c>
      <c r="H103" s="5" t="n">
        <f>1581.0</f>
        <v>1581.0</v>
      </c>
    </row>
    <row r="104">
      <c r="A104" s="3" t="s">
        <v>106</v>
      </c>
      <c r="B104" s="4" t="s">
        <v>107</v>
      </c>
      <c r="C104" s="4" t="s">
        <v>108</v>
      </c>
      <c r="D104" s="3" t="n">
        <v>10.0</v>
      </c>
      <c r="E104" s="4" t="s">
        <v>93</v>
      </c>
      <c r="F104" s="4" t="s">
        <v>94</v>
      </c>
      <c r="G104" s="4" t="s">
        <v>95</v>
      </c>
      <c r="H104" s="5" t="n">
        <f>964.0</f>
        <v>964.0</v>
      </c>
    </row>
    <row r="105">
      <c r="A105" s="3" t="s">
        <v>106</v>
      </c>
      <c r="B105" s="4" t="s">
        <v>107</v>
      </c>
      <c r="C105" s="4" t="s">
        <v>108</v>
      </c>
      <c r="D105" s="3" t="n">
        <v>11.0</v>
      </c>
      <c r="E105" s="4" t="s">
        <v>67</v>
      </c>
      <c r="F105" s="4" t="s">
        <v>68</v>
      </c>
      <c r="G105" s="4" t="s">
        <v>69</v>
      </c>
      <c r="H105" s="5" t="n">
        <f>592.0</f>
        <v>592.0</v>
      </c>
    </row>
    <row r="106">
      <c r="A106" s="3" t="s">
        <v>106</v>
      </c>
      <c r="B106" s="4" t="s">
        <v>107</v>
      </c>
      <c r="C106" s="4" t="s">
        <v>108</v>
      </c>
      <c r="D106" s="3" t="n">
        <v>12.0</v>
      </c>
      <c r="E106" s="4" t="s">
        <v>43</v>
      </c>
      <c r="F106" s="4" t="s">
        <v>44</v>
      </c>
      <c r="G106" s="4" t="s">
        <v>45</v>
      </c>
      <c r="H106" s="5" t="n">
        <f>587.0</f>
        <v>587.0</v>
      </c>
    </row>
    <row r="107">
      <c r="A107" s="3" t="s">
        <v>106</v>
      </c>
      <c r="B107" s="4" t="s">
        <v>107</v>
      </c>
      <c r="C107" s="4" t="s">
        <v>108</v>
      </c>
      <c r="D107" s="3" t="n">
        <v>13.0</v>
      </c>
      <c r="E107" s="4" t="s">
        <v>46</v>
      </c>
      <c r="F107" s="4" t="s">
        <v>47</v>
      </c>
      <c r="G107" s="4" t="s">
        <v>48</v>
      </c>
      <c r="H107" s="5" t="n">
        <f>577.0</f>
        <v>577.0</v>
      </c>
    </row>
    <row r="108">
      <c r="A108" s="3" t="s">
        <v>106</v>
      </c>
      <c r="B108" s="4" t="s">
        <v>107</v>
      </c>
      <c r="C108" s="4" t="s">
        <v>108</v>
      </c>
      <c r="D108" s="3" t="n">
        <v>14.0</v>
      </c>
      <c r="E108" s="4" t="s">
        <v>61</v>
      </c>
      <c r="F108" s="4" t="s">
        <v>62</v>
      </c>
      <c r="G108" s="4" t="s">
        <v>63</v>
      </c>
      <c r="H108" s="5" t="n">
        <f>575.0</f>
        <v>575.0</v>
      </c>
    </row>
    <row r="109">
      <c r="A109" s="3" t="s">
        <v>106</v>
      </c>
      <c r="B109" s="4" t="s">
        <v>107</v>
      </c>
      <c r="C109" s="4" t="s">
        <v>108</v>
      </c>
      <c r="D109" s="3" t="n">
        <v>15.0</v>
      </c>
      <c r="E109" s="4" t="s">
        <v>70</v>
      </c>
      <c r="F109" s="4" t="s">
        <v>71</v>
      </c>
      <c r="G109" s="4" t="s">
        <v>72</v>
      </c>
      <c r="H109" s="5" t="n">
        <f>487.0</f>
        <v>487.0</v>
      </c>
    </row>
    <row r="110">
      <c r="A110" s="3" t="s">
        <v>106</v>
      </c>
      <c r="B110" s="4" t="s">
        <v>107</v>
      </c>
      <c r="C110" s="4" t="s">
        <v>108</v>
      </c>
      <c r="D110" s="3" t="n">
        <v>16.0</v>
      </c>
      <c r="E110" s="4" t="s">
        <v>49</v>
      </c>
      <c r="F110" s="4" t="s">
        <v>50</v>
      </c>
      <c r="G110" s="4" t="s">
        <v>51</v>
      </c>
      <c r="H110" s="5" t="n">
        <f>440.0</f>
        <v>440.0</v>
      </c>
    </row>
    <row r="111">
      <c r="A111" s="3" t="s">
        <v>106</v>
      </c>
      <c r="B111" s="4" t="s">
        <v>107</v>
      </c>
      <c r="C111" s="4" t="s">
        <v>108</v>
      </c>
      <c r="D111" s="3" t="n">
        <v>17.0</v>
      </c>
      <c r="E111" s="4" t="s">
        <v>109</v>
      </c>
      <c r="F111" s="4" t="s">
        <v>110</v>
      </c>
      <c r="G111" s="4" t="s">
        <v>111</v>
      </c>
      <c r="H111" s="5" t="n">
        <f>405.0</f>
        <v>405.0</v>
      </c>
    </row>
    <row r="112">
      <c r="A112" s="3" t="s">
        <v>106</v>
      </c>
      <c r="B112" s="4" t="s">
        <v>107</v>
      </c>
      <c r="C112" s="4" t="s">
        <v>108</v>
      </c>
      <c r="D112" s="3" t="n">
        <v>18.0</v>
      </c>
      <c r="E112" s="4" t="s">
        <v>98</v>
      </c>
      <c r="F112" s="4" t="s">
        <v>99</v>
      </c>
      <c r="G112" s="4" t="s">
        <v>100</v>
      </c>
      <c r="H112" s="5" t="n">
        <f>349.0</f>
        <v>349.0</v>
      </c>
    </row>
    <row r="113">
      <c r="A113" s="3" t="s">
        <v>106</v>
      </c>
      <c r="B113" s="4" t="s">
        <v>107</v>
      </c>
      <c r="C113" s="4" t="s">
        <v>108</v>
      </c>
      <c r="D113" s="3" t="n">
        <v>19.0</v>
      </c>
      <c r="E113" s="4" t="s">
        <v>64</v>
      </c>
      <c r="F113" s="4" t="s">
        <v>65</v>
      </c>
      <c r="G113" s="4" t="s">
        <v>66</v>
      </c>
      <c r="H113" s="5" t="n">
        <f>331.0</f>
        <v>331.0</v>
      </c>
    </row>
    <row r="114">
      <c r="A114" s="3" t="s">
        <v>106</v>
      </c>
      <c r="B114" s="4" t="s">
        <v>107</v>
      </c>
      <c r="C114" s="4" t="s">
        <v>108</v>
      </c>
      <c r="D114" s="3" t="n">
        <v>20.0</v>
      </c>
      <c r="E114" s="4" t="s">
        <v>103</v>
      </c>
      <c r="F114" s="4" t="s">
        <v>104</v>
      </c>
      <c r="G114" s="4" t="s">
        <v>105</v>
      </c>
      <c r="H114" s="5" t="n">
        <f>253.0</f>
        <v>253.0</v>
      </c>
    </row>
    <row r="115">
      <c r="A115" s="3" t="s">
        <v>112</v>
      </c>
      <c r="B115" s="4" t="s">
        <v>113</v>
      </c>
      <c r="C115" s="4" t="s">
        <v>114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25.0</f>
        <v>25.0</v>
      </c>
    </row>
    <row r="116">
      <c r="A116" s="3" t="s">
        <v>112</v>
      </c>
      <c r="B116" s="4" t="s">
        <v>113</v>
      </c>
      <c r="C116" s="4" t="s">
        <v>114</v>
      </c>
      <c r="D116" s="3" t="n">
        <v>2.0</v>
      </c>
      <c r="E116" s="4" t="s">
        <v>90</v>
      </c>
      <c r="F116" s="4" t="s">
        <v>91</v>
      </c>
      <c r="G116" s="4" t="s">
        <v>92</v>
      </c>
      <c r="H116" s="5" t="n">
        <f>5.0</f>
        <v>5.0</v>
      </c>
    </row>
    <row r="117">
      <c r="A117" s="3" t="s">
        <v>112</v>
      </c>
      <c r="B117" s="4" t="s">
        <v>113</v>
      </c>
      <c r="C117" s="4" t="s">
        <v>114</v>
      </c>
      <c r="D117" s="3" t="n">
        <v>3.0</v>
      </c>
      <c r="E117" s="4" t="s">
        <v>46</v>
      </c>
      <c r="F117" s="4" t="s">
        <v>47</v>
      </c>
      <c r="G117" s="4" t="s">
        <v>48</v>
      </c>
      <c r="H117" s="5" t="n">
        <f>4.0</f>
        <v>4.0</v>
      </c>
    </row>
    <row r="118">
      <c r="A118" s="3" t="s">
        <v>112</v>
      </c>
      <c r="B118" s="4" t="s">
        <v>113</v>
      </c>
      <c r="C118" s="4" t="s">
        <v>114</v>
      </c>
      <c r="D118" s="3" t="n">
        <v>4.0</v>
      </c>
      <c r="E118" s="4" t="s">
        <v>16</v>
      </c>
      <c r="F118" s="4" t="s">
        <v>17</v>
      </c>
      <c r="G118" s="4" t="s">
        <v>18</v>
      </c>
      <c r="H118" s="5" t="n">
        <f>3.0</f>
        <v>3.0</v>
      </c>
    </row>
    <row r="119">
      <c r="A119" s="3" t="s">
        <v>112</v>
      </c>
      <c r="B119" s="4" t="s">
        <v>113</v>
      </c>
      <c r="C119" s="4" t="s">
        <v>114</v>
      </c>
      <c r="D119" s="3" t="n">
        <v>5.0</v>
      </c>
      <c r="E119" s="4" t="s">
        <v>58</v>
      </c>
      <c r="F119" s="4" t="s">
        <v>59</v>
      </c>
      <c r="G119" s="4" t="s">
        <v>60</v>
      </c>
      <c r="H119" s="5" t="n">
        <f>1.0</f>
        <v>1.0</v>
      </c>
    </row>
    <row r="120">
      <c r="A120" s="3" t="s">
        <v>112</v>
      </c>
      <c r="B120" s="4" t="s">
        <v>115</v>
      </c>
      <c r="C120" s="4" t="s">
        <v>116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44.0</f>
        <v>44.0</v>
      </c>
    </row>
    <row r="121">
      <c r="A121" s="3" t="s">
        <v>112</v>
      </c>
      <c r="B121" s="4" t="s">
        <v>115</v>
      </c>
      <c r="C121" s="4" t="s">
        <v>116</v>
      </c>
      <c r="D121" s="3" t="n">
        <v>2.0</v>
      </c>
      <c r="E121" s="4" t="s">
        <v>55</v>
      </c>
      <c r="F121" s="4" t="s">
        <v>56</v>
      </c>
      <c r="G121" s="4" t="s">
        <v>57</v>
      </c>
      <c r="H121" s="5" t="n">
        <f>4.0</f>
        <v>4.0</v>
      </c>
    </row>
    <row r="122">
      <c r="A122" s="3" t="s">
        <v>112</v>
      </c>
      <c r="B122" s="4" t="s">
        <v>115</v>
      </c>
      <c r="C122" s="4" t="s">
        <v>116</v>
      </c>
      <c r="D122" s="3" t="n">
        <v>3.0</v>
      </c>
      <c r="E122" s="4" t="s">
        <v>90</v>
      </c>
      <c r="F122" s="4" t="s">
        <v>91</v>
      </c>
      <c r="G122" s="4" t="s">
        <v>92</v>
      </c>
      <c r="H122" s="5" t="n">
        <f>2.0</f>
        <v>2.0</v>
      </c>
    </row>
    <row r="123">
      <c r="A123" s="3" t="s">
        <v>112</v>
      </c>
      <c r="B123" s="4" t="s">
        <v>115</v>
      </c>
      <c r="C123" s="4" t="s">
        <v>116</v>
      </c>
      <c r="D123" s="3" t="n">
        <v>3.0</v>
      </c>
      <c r="E123" s="4" t="s">
        <v>49</v>
      </c>
      <c r="F123" s="4" t="s">
        <v>50</v>
      </c>
      <c r="G123" s="4" t="s">
        <v>51</v>
      </c>
      <c r="H123" s="5" t="n">
        <f>2.0</f>
        <v>2.0</v>
      </c>
    </row>
    <row r="124">
      <c r="A124" s="3" t="s">
        <v>112</v>
      </c>
      <c r="B124" s="4" t="s">
        <v>117</v>
      </c>
      <c r="C124" s="4" t="s">
        <v>118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438.0</f>
        <v>438.0</v>
      </c>
    </row>
    <row r="125">
      <c r="A125" s="3" t="s">
        <v>112</v>
      </c>
      <c r="B125" s="4" t="s">
        <v>117</v>
      </c>
      <c r="C125" s="4" t="s">
        <v>118</v>
      </c>
      <c r="D125" s="3" t="n">
        <v>2.0</v>
      </c>
      <c r="E125" s="4" t="s">
        <v>16</v>
      </c>
      <c r="F125" s="4" t="s">
        <v>17</v>
      </c>
      <c r="G125" s="4" t="s">
        <v>18</v>
      </c>
      <c r="H125" s="5" t="n">
        <f>110.0</f>
        <v>110.0</v>
      </c>
    </row>
    <row r="126">
      <c r="A126" s="3" t="s">
        <v>112</v>
      </c>
      <c r="B126" s="4" t="s">
        <v>117</v>
      </c>
      <c r="C126" s="4" t="s">
        <v>118</v>
      </c>
      <c r="D126" s="3" t="n">
        <v>3.0</v>
      </c>
      <c r="E126" s="4" t="s">
        <v>58</v>
      </c>
      <c r="F126" s="4" t="s">
        <v>59</v>
      </c>
      <c r="G126" s="4" t="s">
        <v>60</v>
      </c>
      <c r="H126" s="5" t="n">
        <f>55.0</f>
        <v>55.0</v>
      </c>
    </row>
    <row r="127">
      <c r="A127" s="3" t="s">
        <v>112</v>
      </c>
      <c r="B127" s="4" t="s">
        <v>117</v>
      </c>
      <c r="C127" s="4" t="s">
        <v>118</v>
      </c>
      <c r="D127" s="3" t="n">
        <v>4.0</v>
      </c>
      <c r="E127" s="4" t="s">
        <v>46</v>
      </c>
      <c r="F127" s="4" t="s">
        <v>47</v>
      </c>
      <c r="G127" s="4" t="s">
        <v>48</v>
      </c>
      <c r="H127" s="5" t="n">
        <f>52.0</f>
        <v>52.0</v>
      </c>
    </row>
    <row r="128">
      <c r="A128" s="3" t="s">
        <v>112</v>
      </c>
      <c r="B128" s="4" t="s">
        <v>117</v>
      </c>
      <c r="C128" s="4" t="s">
        <v>118</v>
      </c>
      <c r="D128" s="3" t="n">
        <v>5.0</v>
      </c>
      <c r="E128" s="4" t="s">
        <v>93</v>
      </c>
      <c r="F128" s="4" t="s">
        <v>94</v>
      </c>
      <c r="G128" s="4" t="s">
        <v>95</v>
      </c>
      <c r="H128" s="5" t="n">
        <f>47.0</f>
        <v>47.0</v>
      </c>
    </row>
    <row r="129">
      <c r="A129" s="3" t="s">
        <v>112</v>
      </c>
      <c r="B129" s="4" t="s">
        <v>117</v>
      </c>
      <c r="C129" s="4" t="s">
        <v>118</v>
      </c>
      <c r="D129" s="3" t="n">
        <v>6.0</v>
      </c>
      <c r="E129" s="4" t="s">
        <v>25</v>
      </c>
      <c r="F129" s="4" t="s">
        <v>26</v>
      </c>
      <c r="G129" s="4" t="s">
        <v>27</v>
      </c>
      <c r="H129" s="5" t="n">
        <f>40.0</f>
        <v>40.0</v>
      </c>
    </row>
    <row r="130">
      <c r="A130" s="3" t="s">
        <v>112</v>
      </c>
      <c r="B130" s="4" t="s">
        <v>117</v>
      </c>
      <c r="C130" s="4" t="s">
        <v>118</v>
      </c>
      <c r="D130" s="3" t="n">
        <v>7.0</v>
      </c>
      <c r="E130" s="4" t="s">
        <v>67</v>
      </c>
      <c r="F130" s="4" t="s">
        <v>68</v>
      </c>
      <c r="G130" s="4" t="s">
        <v>69</v>
      </c>
      <c r="H130" s="5" t="n">
        <f>30.0</f>
        <v>30.0</v>
      </c>
    </row>
    <row r="131">
      <c r="A131" s="3" t="s">
        <v>112</v>
      </c>
      <c r="B131" s="4" t="s">
        <v>117</v>
      </c>
      <c r="C131" s="4" t="s">
        <v>118</v>
      </c>
      <c r="D131" s="3" t="n">
        <v>7.0</v>
      </c>
      <c r="E131" s="4" t="s">
        <v>55</v>
      </c>
      <c r="F131" s="4" t="s">
        <v>56</v>
      </c>
      <c r="G131" s="4" t="s">
        <v>57</v>
      </c>
      <c r="H131" s="5" t="n">
        <f>30.0</f>
        <v>30.0</v>
      </c>
    </row>
    <row r="132">
      <c r="A132" s="3" t="s">
        <v>112</v>
      </c>
      <c r="B132" s="4" t="s">
        <v>117</v>
      </c>
      <c r="C132" s="4" t="s">
        <v>118</v>
      </c>
      <c r="D132" s="3" t="n">
        <v>9.0</v>
      </c>
      <c r="E132" s="4" t="s">
        <v>119</v>
      </c>
      <c r="F132" s="4" t="s">
        <v>120</v>
      </c>
      <c r="G132" s="4" t="s">
        <v>121</v>
      </c>
      <c r="H132" s="5" t="n">
        <f>24.0</f>
        <v>24.0</v>
      </c>
    </row>
    <row r="133">
      <c r="A133" s="3" t="s">
        <v>112</v>
      </c>
      <c r="B133" s="4" t="s">
        <v>117</v>
      </c>
      <c r="C133" s="4" t="s">
        <v>118</v>
      </c>
      <c r="D133" s="3" t="n">
        <v>10.0</v>
      </c>
      <c r="E133" s="4" t="s">
        <v>28</v>
      </c>
      <c r="F133" s="4" t="s">
        <v>29</v>
      </c>
      <c r="G133" s="4" t="s">
        <v>30</v>
      </c>
      <c r="H133" s="5" t="n">
        <f>23.0</f>
        <v>23.0</v>
      </c>
    </row>
    <row r="134">
      <c r="A134" s="3" t="s">
        <v>112</v>
      </c>
      <c r="B134" s="4" t="s">
        <v>117</v>
      </c>
      <c r="C134" s="4" t="s">
        <v>118</v>
      </c>
      <c r="D134" s="3" t="n">
        <v>11.0</v>
      </c>
      <c r="E134" s="4" t="s">
        <v>90</v>
      </c>
      <c r="F134" s="4" t="s">
        <v>91</v>
      </c>
      <c r="G134" s="4" t="s">
        <v>92</v>
      </c>
      <c r="H134" s="5" t="n">
        <f>20.0</f>
        <v>20.0</v>
      </c>
    </row>
    <row r="135">
      <c r="A135" s="3" t="s">
        <v>112</v>
      </c>
      <c r="B135" s="4" t="s">
        <v>117</v>
      </c>
      <c r="C135" s="4" t="s">
        <v>118</v>
      </c>
      <c r="D135" s="3" t="n">
        <v>11.0</v>
      </c>
      <c r="E135" s="4" t="s">
        <v>70</v>
      </c>
      <c r="F135" s="4" t="s">
        <v>71</v>
      </c>
      <c r="G135" s="4" t="s">
        <v>72</v>
      </c>
      <c r="H135" s="5" t="n">
        <f>20.0</f>
        <v>20.0</v>
      </c>
    </row>
    <row r="136">
      <c r="A136" s="3" t="s">
        <v>112</v>
      </c>
      <c r="B136" s="4" t="s">
        <v>117</v>
      </c>
      <c r="C136" s="4" t="s">
        <v>118</v>
      </c>
      <c r="D136" s="3" t="n">
        <v>13.0</v>
      </c>
      <c r="E136" s="4" t="s">
        <v>49</v>
      </c>
      <c r="F136" s="4" t="s">
        <v>50</v>
      </c>
      <c r="G136" s="4" t="s">
        <v>51</v>
      </c>
      <c r="H136" s="5" t="n">
        <f>18.0</f>
        <v>18.0</v>
      </c>
    </row>
    <row r="137">
      <c r="A137" s="3" t="s">
        <v>112</v>
      </c>
      <c r="B137" s="4" t="s">
        <v>117</v>
      </c>
      <c r="C137" s="4" t="s">
        <v>118</v>
      </c>
      <c r="D137" s="3" t="n">
        <v>14.0</v>
      </c>
      <c r="E137" s="4" t="s">
        <v>64</v>
      </c>
      <c r="F137" s="4" t="s">
        <v>65</v>
      </c>
      <c r="G137" s="4" t="s">
        <v>66</v>
      </c>
      <c r="H137" s="5" t="n">
        <f>15.0</f>
        <v>15.0</v>
      </c>
    </row>
    <row r="138">
      <c r="A138" s="3" t="s">
        <v>112</v>
      </c>
      <c r="B138" s="4" t="s">
        <v>117</v>
      </c>
      <c r="C138" s="4" t="s">
        <v>118</v>
      </c>
      <c r="D138" s="3" t="n">
        <v>15.0</v>
      </c>
      <c r="E138" s="4" t="s">
        <v>19</v>
      </c>
      <c r="F138" s="4" t="s">
        <v>20</v>
      </c>
      <c r="G138" s="4" t="s">
        <v>21</v>
      </c>
      <c r="H138" s="5" t="n">
        <f>14.0</f>
        <v>14.0</v>
      </c>
    </row>
    <row r="139">
      <c r="A139" s="3" t="s">
        <v>112</v>
      </c>
      <c r="B139" s="4" t="s">
        <v>117</v>
      </c>
      <c r="C139" s="4" t="s">
        <v>118</v>
      </c>
      <c r="D139" s="3" t="n">
        <v>16.0</v>
      </c>
      <c r="E139" s="4" t="s">
        <v>37</v>
      </c>
      <c r="F139" s="4" t="s">
        <v>38</v>
      </c>
      <c r="G139" s="4" t="s">
        <v>39</v>
      </c>
      <c r="H139" s="5" t="n">
        <f>10.0</f>
        <v>10.0</v>
      </c>
    </row>
    <row r="140">
      <c r="A140" s="3" t="s">
        <v>112</v>
      </c>
      <c r="B140" s="4" t="s">
        <v>117</v>
      </c>
      <c r="C140" s="4" t="s">
        <v>118</v>
      </c>
      <c r="D140" s="3" t="n">
        <v>16.0</v>
      </c>
      <c r="E140" s="4" t="s">
        <v>61</v>
      </c>
      <c r="F140" s="4" t="s">
        <v>62</v>
      </c>
      <c r="G140" s="4" t="s">
        <v>63</v>
      </c>
      <c r="H140" s="5" t="n">
        <f>10.0</f>
        <v>10.0</v>
      </c>
    </row>
    <row r="141">
      <c r="A141" s="3" t="s">
        <v>112</v>
      </c>
      <c r="B141" s="4" t="s">
        <v>117</v>
      </c>
      <c r="C141" s="4" t="s">
        <v>118</v>
      </c>
      <c r="D141" s="3" t="n">
        <v>16.0</v>
      </c>
      <c r="E141" s="4" t="s">
        <v>52</v>
      </c>
      <c r="F141" s="4" t="s">
        <v>53</v>
      </c>
      <c r="G141" s="4" t="s">
        <v>54</v>
      </c>
      <c r="H141" s="5" t="n">
        <f>10.0</f>
        <v>10.0</v>
      </c>
    </row>
    <row r="142">
      <c r="A142" s="3" t="s">
        <v>112</v>
      </c>
      <c r="B142" s="4" t="s">
        <v>117</v>
      </c>
      <c r="C142" s="4" t="s">
        <v>118</v>
      </c>
      <c r="D142" s="3" t="n">
        <v>19.0</v>
      </c>
      <c r="E142" s="4" t="s">
        <v>122</v>
      </c>
      <c r="F142" s="4" t="s">
        <v>123</v>
      </c>
      <c r="G142" s="4" t="s">
        <v>124</v>
      </c>
      <c r="H142" s="5" t="n">
        <f>9.0</f>
        <v>9.0</v>
      </c>
    </row>
    <row r="143">
      <c r="A143" s="3" t="s">
        <v>112</v>
      </c>
      <c r="B143" s="4" t="s">
        <v>117</v>
      </c>
      <c r="C143" s="4" t="s">
        <v>118</v>
      </c>
      <c r="D143" s="3" t="n">
        <v>19.0</v>
      </c>
      <c r="E143" s="4" t="s">
        <v>75</v>
      </c>
      <c r="F143" s="4" t="s">
        <v>76</v>
      </c>
      <c r="G143" s="4" t="s">
        <v>77</v>
      </c>
      <c r="H143" s="5" t="n">
        <f>9.0</f>
        <v>9.0</v>
      </c>
    </row>
    <row r="144">
      <c r="A144" s="3" t="s">
        <v>112</v>
      </c>
      <c r="B144" s="4" t="s">
        <v>125</v>
      </c>
      <c r="C144" s="4" t="s">
        <v>126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38.0</f>
        <v>38.0</v>
      </c>
    </row>
    <row r="145">
      <c r="A145" s="3" t="s">
        <v>112</v>
      </c>
      <c r="B145" s="4" t="s">
        <v>125</v>
      </c>
      <c r="C145" s="4" t="s">
        <v>126</v>
      </c>
      <c r="D145" s="3" t="n">
        <v>2.0</v>
      </c>
      <c r="E145" s="4" t="s">
        <v>67</v>
      </c>
      <c r="F145" s="4" t="s">
        <v>68</v>
      </c>
      <c r="G145" s="4" t="s">
        <v>69</v>
      </c>
      <c r="H145" s="5" t="n">
        <f>8.0</f>
        <v>8.0</v>
      </c>
    </row>
    <row r="146">
      <c r="A146" s="3" t="s">
        <v>112</v>
      </c>
      <c r="B146" s="4" t="s">
        <v>125</v>
      </c>
      <c r="C146" s="4" t="s">
        <v>126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8.0</f>
        <v>8.0</v>
      </c>
    </row>
    <row r="147">
      <c r="A147" s="3" t="s">
        <v>112</v>
      </c>
      <c r="B147" s="4" t="s">
        <v>125</v>
      </c>
      <c r="C147" s="4" t="s">
        <v>126</v>
      </c>
      <c r="D147" s="3" t="n">
        <v>4.0</v>
      </c>
      <c r="E147" s="4" t="s">
        <v>52</v>
      </c>
      <c r="F147" s="4" t="s">
        <v>53</v>
      </c>
      <c r="G147" s="4" t="s">
        <v>54</v>
      </c>
      <c r="H147" s="5" t="n">
        <f>5.0</f>
        <v>5.0</v>
      </c>
    </row>
    <row r="148">
      <c r="A148" s="3" t="s">
        <v>112</v>
      </c>
      <c r="B148" s="4" t="s">
        <v>125</v>
      </c>
      <c r="C148" s="4" t="s">
        <v>126</v>
      </c>
      <c r="D148" s="3" t="n">
        <v>5.0</v>
      </c>
      <c r="E148" s="4" t="s">
        <v>49</v>
      </c>
      <c r="F148" s="4" t="s">
        <v>50</v>
      </c>
      <c r="G148" s="4" t="s">
        <v>51</v>
      </c>
      <c r="H148" s="5" t="n">
        <f>2.0</f>
        <v>2.0</v>
      </c>
    </row>
    <row r="149">
      <c r="A149" s="3" t="s">
        <v>112</v>
      </c>
      <c r="B149" s="4" t="s">
        <v>125</v>
      </c>
      <c r="C149" s="4" t="s">
        <v>126</v>
      </c>
      <c r="D149" s="3" t="n">
        <v>6.0</v>
      </c>
      <c r="E149" s="4" t="s">
        <v>119</v>
      </c>
      <c r="F149" s="4" t="s">
        <v>120</v>
      </c>
      <c r="G149" s="4" t="s">
        <v>121</v>
      </c>
      <c r="H149" s="5" t="n">
        <f>1.0</f>
        <v>1.0</v>
      </c>
    </row>
    <row r="150">
      <c r="A150" s="3" t="s">
        <v>112</v>
      </c>
      <c r="B150" s="4" t="s">
        <v>127</v>
      </c>
      <c r="C150" s="4" t="s">
        <v>128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39.0</f>
        <v>39.0</v>
      </c>
    </row>
    <row r="151">
      <c r="A151" s="3" t="s">
        <v>112</v>
      </c>
      <c r="B151" s="4" t="s">
        <v>127</v>
      </c>
      <c r="C151" s="4" t="s">
        <v>128</v>
      </c>
      <c r="D151" s="3" t="n">
        <v>2.0</v>
      </c>
      <c r="E151" s="4" t="s">
        <v>58</v>
      </c>
      <c r="F151" s="4" t="s">
        <v>59</v>
      </c>
      <c r="G151" s="4" t="s">
        <v>60</v>
      </c>
      <c r="H151" s="5" t="n">
        <f>33.0</f>
        <v>33.0</v>
      </c>
    </row>
    <row r="152">
      <c r="A152" s="3" t="s">
        <v>112</v>
      </c>
      <c r="B152" s="4" t="s">
        <v>127</v>
      </c>
      <c r="C152" s="4" t="s">
        <v>128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10.0</f>
        <v>10.0</v>
      </c>
    </row>
    <row r="153">
      <c r="A153" s="3" t="s">
        <v>112</v>
      </c>
      <c r="B153" s="4" t="s">
        <v>127</v>
      </c>
      <c r="C153" s="4" t="s">
        <v>128</v>
      </c>
      <c r="D153" s="3" t="n">
        <v>4.0</v>
      </c>
      <c r="E153" s="4" t="s">
        <v>49</v>
      </c>
      <c r="F153" s="4" t="s">
        <v>50</v>
      </c>
      <c r="G153" s="4" t="s">
        <v>51</v>
      </c>
      <c r="H153" s="5" t="n">
        <f>6.0</f>
        <v>6.0</v>
      </c>
    </row>
    <row r="154">
      <c r="A154" s="3" t="s">
        <v>112</v>
      </c>
      <c r="B154" s="4" t="s">
        <v>127</v>
      </c>
      <c r="C154" s="4" t="s">
        <v>128</v>
      </c>
      <c r="D154" s="3" t="n">
        <v>5.0</v>
      </c>
      <c r="E154" s="4" t="s">
        <v>46</v>
      </c>
      <c r="F154" s="4" t="s">
        <v>47</v>
      </c>
      <c r="G154" s="4" t="s">
        <v>48</v>
      </c>
      <c r="H154" s="5" t="n">
        <f>5.0</f>
        <v>5.0</v>
      </c>
    </row>
    <row r="155">
      <c r="A155" s="3" t="s">
        <v>112</v>
      </c>
      <c r="B155" s="4" t="s">
        <v>127</v>
      </c>
      <c r="C155" s="4" t="s">
        <v>128</v>
      </c>
      <c r="D155" s="3" t="n">
        <v>6.0</v>
      </c>
      <c r="E155" s="4" t="s">
        <v>19</v>
      </c>
      <c r="F155" s="4" t="s">
        <v>20</v>
      </c>
      <c r="G155" s="4" t="s">
        <v>21</v>
      </c>
      <c r="H155" s="5" t="n">
        <f>3.0</f>
        <v>3.0</v>
      </c>
    </row>
    <row r="156">
      <c r="A156" s="3" t="s">
        <v>112</v>
      </c>
      <c r="B156" s="4" t="s">
        <v>129</v>
      </c>
      <c r="C156" s="4" t="s">
        <v>130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26.0</f>
        <v>26.0</v>
      </c>
    </row>
    <row r="157">
      <c r="A157" s="3" t="s">
        <v>112</v>
      </c>
      <c r="B157" s="4" t="s">
        <v>129</v>
      </c>
      <c r="C157" s="4" t="s">
        <v>130</v>
      </c>
      <c r="D157" s="3" t="n">
        <v>2.0</v>
      </c>
      <c r="E157" s="4" t="s">
        <v>67</v>
      </c>
      <c r="F157" s="4" t="s">
        <v>68</v>
      </c>
      <c r="G157" s="4" t="s">
        <v>69</v>
      </c>
      <c r="H157" s="5" t="n">
        <f>5.0</f>
        <v>5.0</v>
      </c>
    </row>
    <row r="158">
      <c r="A158" s="3" t="s">
        <v>112</v>
      </c>
      <c r="B158" s="4" t="s">
        <v>129</v>
      </c>
      <c r="C158" s="4" t="s">
        <v>130</v>
      </c>
      <c r="D158" s="3" t="n">
        <v>2.0</v>
      </c>
      <c r="E158" s="4" t="s">
        <v>52</v>
      </c>
      <c r="F158" s="4" t="s">
        <v>53</v>
      </c>
      <c r="G158" s="4" t="s">
        <v>54</v>
      </c>
      <c r="H158" s="5" t="n">
        <f>5.0</f>
        <v>5.0</v>
      </c>
    </row>
    <row r="159">
      <c r="A159" s="3" t="s">
        <v>112</v>
      </c>
      <c r="B159" s="4" t="s">
        <v>129</v>
      </c>
      <c r="C159" s="4" t="s">
        <v>130</v>
      </c>
      <c r="D159" s="3" t="n">
        <v>2.0</v>
      </c>
      <c r="E159" s="4" t="s">
        <v>40</v>
      </c>
      <c r="F159" s="4" t="s">
        <v>41</v>
      </c>
      <c r="G159" s="4" t="s">
        <v>42</v>
      </c>
      <c r="H159" s="5" t="n">
        <f>5.0</f>
        <v>5.0</v>
      </c>
    </row>
    <row r="160">
      <c r="A160" s="3" t="s">
        <v>112</v>
      </c>
      <c r="B160" s="4" t="s">
        <v>129</v>
      </c>
      <c r="C160" s="4" t="s">
        <v>130</v>
      </c>
      <c r="D160" s="3" t="n">
        <v>5.0</v>
      </c>
      <c r="E160" s="4" t="s">
        <v>16</v>
      </c>
      <c r="F160" s="4" t="s">
        <v>17</v>
      </c>
      <c r="G160" s="4" t="s">
        <v>18</v>
      </c>
      <c r="H160" s="5" t="n">
        <f>4.0</f>
        <v>4.0</v>
      </c>
    </row>
    <row r="161">
      <c r="A161" s="3" t="s">
        <v>112</v>
      </c>
      <c r="B161" s="4" t="s">
        <v>129</v>
      </c>
      <c r="C161" s="4" t="s">
        <v>130</v>
      </c>
      <c r="D161" s="3" t="n">
        <v>6.0</v>
      </c>
      <c r="E161" s="4" t="s">
        <v>55</v>
      </c>
      <c r="F161" s="4" t="s">
        <v>56</v>
      </c>
      <c r="G161" s="4" t="s">
        <v>57</v>
      </c>
      <c r="H161" s="5" t="n">
        <f>2.0</f>
        <v>2.0</v>
      </c>
    </row>
    <row r="162">
      <c r="A162" s="3" t="s">
        <v>112</v>
      </c>
      <c r="B162" s="4" t="s">
        <v>129</v>
      </c>
      <c r="C162" s="4" t="s">
        <v>130</v>
      </c>
      <c r="D162" s="3" t="n">
        <v>7.0</v>
      </c>
      <c r="E162" s="4" t="s">
        <v>49</v>
      </c>
      <c r="F162" s="4" t="s">
        <v>50</v>
      </c>
      <c r="G162" s="4" t="s">
        <v>51</v>
      </c>
      <c r="H162" s="5" t="n">
        <f>1.0</f>
        <v>1.0</v>
      </c>
    </row>
    <row r="163">
      <c r="A163" s="3" t="s">
        <v>112</v>
      </c>
      <c r="B163" s="4" t="s">
        <v>131</v>
      </c>
      <c r="C163" s="4" t="s">
        <v>132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447.0</f>
        <v>447.0</v>
      </c>
    </row>
    <row r="164">
      <c r="A164" s="3" t="s">
        <v>112</v>
      </c>
      <c r="B164" s="4" t="s">
        <v>131</v>
      </c>
      <c r="C164" s="4" t="s">
        <v>132</v>
      </c>
      <c r="D164" s="3" t="n">
        <v>2.0</v>
      </c>
      <c r="E164" s="4" t="s">
        <v>28</v>
      </c>
      <c r="F164" s="4" t="s">
        <v>29</v>
      </c>
      <c r="G164" s="4" t="s">
        <v>30</v>
      </c>
      <c r="H164" s="5" t="n">
        <f>230.0</f>
        <v>230.0</v>
      </c>
    </row>
    <row r="165">
      <c r="A165" s="3" t="s">
        <v>112</v>
      </c>
      <c r="B165" s="4" t="s">
        <v>131</v>
      </c>
      <c r="C165" s="4" t="s">
        <v>132</v>
      </c>
      <c r="D165" s="3" t="n">
        <v>3.0</v>
      </c>
      <c r="E165" s="4" t="s">
        <v>58</v>
      </c>
      <c r="F165" s="4" t="s">
        <v>59</v>
      </c>
      <c r="G165" s="4" t="s">
        <v>60</v>
      </c>
      <c r="H165" s="5" t="n">
        <f>76.0</f>
        <v>76.0</v>
      </c>
    </row>
    <row r="166">
      <c r="A166" s="3" t="s">
        <v>112</v>
      </c>
      <c r="B166" s="4" t="s">
        <v>131</v>
      </c>
      <c r="C166" s="4" t="s">
        <v>132</v>
      </c>
      <c r="D166" s="3" t="n">
        <v>4.0</v>
      </c>
      <c r="E166" s="4" t="s">
        <v>16</v>
      </c>
      <c r="F166" s="4" t="s">
        <v>17</v>
      </c>
      <c r="G166" s="4" t="s">
        <v>18</v>
      </c>
      <c r="H166" s="5" t="n">
        <f>52.0</f>
        <v>52.0</v>
      </c>
    </row>
    <row r="167">
      <c r="A167" s="3" t="s">
        <v>112</v>
      </c>
      <c r="B167" s="4" t="s">
        <v>131</v>
      </c>
      <c r="C167" s="4" t="s">
        <v>132</v>
      </c>
      <c r="D167" s="3" t="n">
        <v>5.0</v>
      </c>
      <c r="E167" s="4" t="s">
        <v>46</v>
      </c>
      <c r="F167" s="4" t="s">
        <v>47</v>
      </c>
      <c r="G167" s="4" t="s">
        <v>48</v>
      </c>
      <c r="H167" s="5" t="n">
        <f>45.0</f>
        <v>45.0</v>
      </c>
    </row>
    <row r="168">
      <c r="A168" s="3" t="s">
        <v>112</v>
      </c>
      <c r="B168" s="4" t="s">
        <v>131</v>
      </c>
      <c r="C168" s="4" t="s">
        <v>132</v>
      </c>
      <c r="D168" s="3" t="n">
        <v>6.0</v>
      </c>
      <c r="E168" s="4" t="s">
        <v>67</v>
      </c>
      <c r="F168" s="4" t="s">
        <v>68</v>
      </c>
      <c r="G168" s="4" t="s">
        <v>69</v>
      </c>
      <c r="H168" s="5" t="n">
        <f>20.0</f>
        <v>20.0</v>
      </c>
    </row>
    <row r="169">
      <c r="A169" s="3" t="s">
        <v>112</v>
      </c>
      <c r="B169" s="4" t="s">
        <v>131</v>
      </c>
      <c r="C169" s="4" t="s">
        <v>132</v>
      </c>
      <c r="D169" s="3" t="n">
        <v>7.0</v>
      </c>
      <c r="E169" s="4" t="s">
        <v>90</v>
      </c>
      <c r="F169" s="4" t="s">
        <v>91</v>
      </c>
      <c r="G169" s="4" t="s">
        <v>92</v>
      </c>
      <c r="H169" s="5" t="n">
        <f>14.0</f>
        <v>14.0</v>
      </c>
    </row>
    <row r="170">
      <c r="A170" s="3" t="s">
        <v>112</v>
      </c>
      <c r="B170" s="4" t="s">
        <v>131</v>
      </c>
      <c r="C170" s="4" t="s">
        <v>132</v>
      </c>
      <c r="D170" s="3" t="n">
        <v>8.0</v>
      </c>
      <c r="E170" s="4" t="s">
        <v>55</v>
      </c>
      <c r="F170" s="4" t="s">
        <v>56</v>
      </c>
      <c r="G170" s="4" t="s">
        <v>57</v>
      </c>
      <c r="H170" s="5" t="n">
        <f>13.0</f>
        <v>13.0</v>
      </c>
    </row>
    <row r="171">
      <c r="A171" s="3" t="s">
        <v>112</v>
      </c>
      <c r="B171" s="4" t="s">
        <v>131</v>
      </c>
      <c r="C171" s="4" t="s">
        <v>132</v>
      </c>
      <c r="D171" s="3" t="n">
        <v>9.0</v>
      </c>
      <c r="E171" s="4" t="s">
        <v>61</v>
      </c>
      <c r="F171" s="4" t="s">
        <v>62</v>
      </c>
      <c r="G171" s="4" t="s">
        <v>63</v>
      </c>
      <c r="H171" s="5" t="n">
        <f>10.0</f>
        <v>10.0</v>
      </c>
    </row>
    <row r="172">
      <c r="A172" s="3" t="s">
        <v>112</v>
      </c>
      <c r="B172" s="4" t="s">
        <v>131</v>
      </c>
      <c r="C172" s="4" t="s">
        <v>132</v>
      </c>
      <c r="D172" s="3" t="n">
        <v>9.0</v>
      </c>
      <c r="E172" s="4" t="s">
        <v>40</v>
      </c>
      <c r="F172" s="4" t="s">
        <v>41</v>
      </c>
      <c r="G172" s="4" t="s">
        <v>42</v>
      </c>
      <c r="H172" s="5" t="n">
        <f>10.0</f>
        <v>10.0</v>
      </c>
    </row>
    <row r="173">
      <c r="A173" s="3" t="s">
        <v>112</v>
      </c>
      <c r="B173" s="4" t="s">
        <v>131</v>
      </c>
      <c r="C173" s="4" t="s">
        <v>132</v>
      </c>
      <c r="D173" s="3" t="n">
        <v>11.0</v>
      </c>
      <c r="E173" s="4" t="s">
        <v>49</v>
      </c>
      <c r="F173" s="4" t="s">
        <v>50</v>
      </c>
      <c r="G173" s="4" t="s">
        <v>51</v>
      </c>
      <c r="H173" s="5" t="n">
        <f>9.0</f>
        <v>9.0</v>
      </c>
    </row>
    <row r="174">
      <c r="A174" s="3" t="s">
        <v>112</v>
      </c>
      <c r="B174" s="4" t="s">
        <v>131</v>
      </c>
      <c r="C174" s="4" t="s">
        <v>132</v>
      </c>
      <c r="D174" s="3" t="n">
        <v>12.0</v>
      </c>
      <c r="E174" s="4" t="s">
        <v>75</v>
      </c>
      <c r="F174" s="4" t="s">
        <v>76</v>
      </c>
      <c r="G174" s="4" t="s">
        <v>77</v>
      </c>
      <c r="H174" s="5" t="n">
        <f>8.0</f>
        <v>8.0</v>
      </c>
    </row>
    <row r="175">
      <c r="A175" s="3" t="s">
        <v>112</v>
      </c>
      <c r="B175" s="4" t="s">
        <v>131</v>
      </c>
      <c r="C175" s="4" t="s">
        <v>132</v>
      </c>
      <c r="D175" s="3" t="n">
        <v>13.0</v>
      </c>
      <c r="E175" s="4" t="s">
        <v>119</v>
      </c>
      <c r="F175" s="4" t="s">
        <v>120</v>
      </c>
      <c r="G175" s="4" t="s">
        <v>121</v>
      </c>
      <c r="H175" s="5" t="n">
        <f>4.0</f>
        <v>4.0</v>
      </c>
    </row>
    <row r="176">
      <c r="A176" s="3" t="s">
        <v>112</v>
      </c>
      <c r="B176" s="4" t="s">
        <v>131</v>
      </c>
      <c r="C176" s="4" t="s">
        <v>132</v>
      </c>
      <c r="D176" s="3" t="n">
        <v>14.0</v>
      </c>
      <c r="E176" s="4" t="s">
        <v>19</v>
      </c>
      <c r="F176" s="4" t="s">
        <v>20</v>
      </c>
      <c r="G176" s="4" t="s">
        <v>21</v>
      </c>
      <c r="H176" s="5" t="n">
        <f>3.0</f>
        <v>3.0</v>
      </c>
    </row>
    <row r="177">
      <c r="A177" s="3" t="s">
        <v>112</v>
      </c>
      <c r="B177" s="4" t="s">
        <v>131</v>
      </c>
      <c r="C177" s="4" t="s">
        <v>132</v>
      </c>
      <c r="D177" s="3" t="n">
        <v>15.0</v>
      </c>
      <c r="E177" s="4" t="s">
        <v>43</v>
      </c>
      <c r="F177" s="4" t="s">
        <v>44</v>
      </c>
      <c r="G177" s="4" t="s">
        <v>45</v>
      </c>
      <c r="H177" s="5" t="n">
        <f>2.0</f>
        <v>2.0</v>
      </c>
    </row>
    <row r="178">
      <c r="A178" s="3" t="s">
        <v>112</v>
      </c>
      <c r="B178" s="4" t="s">
        <v>131</v>
      </c>
      <c r="C178" s="4" t="s">
        <v>132</v>
      </c>
      <c r="D178" s="3" t="n">
        <v>16.0</v>
      </c>
      <c r="E178" s="4" t="s">
        <v>78</v>
      </c>
      <c r="F178" s="4" t="s">
        <v>79</v>
      </c>
      <c r="G178" s="4" t="s">
        <v>80</v>
      </c>
      <c r="H178" s="5" t="n">
        <f>1.0</f>
        <v>1.0</v>
      </c>
    </row>
    <row r="179">
      <c r="A179" s="3" t="s">
        <v>112</v>
      </c>
      <c r="B179" s="4" t="s">
        <v>133</v>
      </c>
      <c r="C179" s="4" t="s">
        <v>134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33.0</f>
        <v>33.0</v>
      </c>
    </row>
    <row r="180">
      <c r="A180" s="3" t="s">
        <v>112</v>
      </c>
      <c r="B180" s="4" t="s">
        <v>133</v>
      </c>
      <c r="C180" s="4" t="s">
        <v>134</v>
      </c>
      <c r="D180" s="3" t="n">
        <v>2.0</v>
      </c>
      <c r="E180" s="4" t="s">
        <v>49</v>
      </c>
      <c r="F180" s="4" t="s">
        <v>50</v>
      </c>
      <c r="G180" s="4" t="s">
        <v>51</v>
      </c>
      <c r="H180" s="5" t="n">
        <f>4.0</f>
        <v>4.0</v>
      </c>
    </row>
    <row r="181">
      <c r="A181" s="3" t="s">
        <v>112</v>
      </c>
      <c r="B181" s="4" t="s">
        <v>133</v>
      </c>
      <c r="C181" s="4" t="s">
        <v>134</v>
      </c>
      <c r="D181" s="3" t="n">
        <v>3.0</v>
      </c>
      <c r="E181" s="4" t="s">
        <v>55</v>
      </c>
      <c r="F181" s="4" t="s">
        <v>56</v>
      </c>
      <c r="G181" s="4" t="s">
        <v>57</v>
      </c>
      <c r="H181" s="5" t="n">
        <f>1.0</f>
        <v>1.0</v>
      </c>
    </row>
    <row r="182">
      <c r="A182" s="3" t="s">
        <v>112</v>
      </c>
      <c r="B182" s="4" t="s">
        <v>135</v>
      </c>
      <c r="C182" s="4" t="s">
        <v>136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278.0</f>
        <v>278.0</v>
      </c>
    </row>
    <row r="183">
      <c r="A183" s="3" t="s">
        <v>112</v>
      </c>
      <c r="B183" s="4" t="s">
        <v>135</v>
      </c>
      <c r="C183" s="4" t="s">
        <v>136</v>
      </c>
      <c r="D183" s="3" t="n">
        <v>2.0</v>
      </c>
      <c r="E183" s="4" t="s">
        <v>31</v>
      </c>
      <c r="F183" s="4" t="s">
        <v>32</v>
      </c>
      <c r="G183" s="4" t="s">
        <v>33</v>
      </c>
      <c r="H183" s="5" t="n">
        <f>30.0</f>
        <v>30.0</v>
      </c>
    </row>
    <row r="184">
      <c r="A184" s="3" t="s">
        <v>112</v>
      </c>
      <c r="B184" s="4" t="s">
        <v>135</v>
      </c>
      <c r="C184" s="4" t="s">
        <v>136</v>
      </c>
      <c r="D184" s="3" t="n">
        <v>3.0</v>
      </c>
      <c r="E184" s="4" t="s">
        <v>67</v>
      </c>
      <c r="F184" s="4" t="s">
        <v>68</v>
      </c>
      <c r="G184" s="4" t="s">
        <v>69</v>
      </c>
      <c r="H184" s="5" t="n">
        <f>21.0</f>
        <v>21.0</v>
      </c>
    </row>
    <row r="185">
      <c r="A185" s="3" t="s">
        <v>112</v>
      </c>
      <c r="B185" s="4" t="s">
        <v>135</v>
      </c>
      <c r="C185" s="4" t="s">
        <v>136</v>
      </c>
      <c r="D185" s="3" t="n">
        <v>4.0</v>
      </c>
      <c r="E185" s="4" t="s">
        <v>49</v>
      </c>
      <c r="F185" s="4" t="s">
        <v>50</v>
      </c>
      <c r="G185" s="4" t="s">
        <v>51</v>
      </c>
      <c r="H185" s="5" t="n">
        <f>10.0</f>
        <v>10.0</v>
      </c>
    </row>
    <row r="186">
      <c r="A186" s="3" t="s">
        <v>112</v>
      </c>
      <c r="B186" s="4" t="s">
        <v>135</v>
      </c>
      <c r="C186" s="4" t="s">
        <v>136</v>
      </c>
      <c r="D186" s="3" t="n">
        <v>5.0</v>
      </c>
      <c r="E186" s="4" t="s">
        <v>46</v>
      </c>
      <c r="F186" s="4" t="s">
        <v>47</v>
      </c>
      <c r="G186" s="4" t="s">
        <v>48</v>
      </c>
      <c r="H186" s="5" t="n">
        <f>5.0</f>
        <v>5.0</v>
      </c>
    </row>
    <row r="187">
      <c r="A187" s="3" t="s">
        <v>112</v>
      </c>
      <c r="B187" s="4" t="s">
        <v>135</v>
      </c>
      <c r="C187" s="4" t="s">
        <v>136</v>
      </c>
      <c r="D187" s="3" t="n">
        <v>5.0</v>
      </c>
      <c r="E187" s="4" t="s">
        <v>119</v>
      </c>
      <c r="F187" s="4" t="s">
        <v>120</v>
      </c>
      <c r="G187" s="4" t="s">
        <v>121</v>
      </c>
      <c r="H187" s="5" t="n">
        <f>5.0</f>
        <v>5.0</v>
      </c>
    </row>
    <row r="188">
      <c r="A188" s="3" t="s">
        <v>112</v>
      </c>
      <c r="B188" s="4" t="s">
        <v>135</v>
      </c>
      <c r="C188" s="4" t="s">
        <v>136</v>
      </c>
      <c r="D188" s="3" t="n">
        <v>5.0</v>
      </c>
      <c r="E188" s="4" t="s">
        <v>16</v>
      </c>
      <c r="F188" s="4" t="s">
        <v>17</v>
      </c>
      <c r="G188" s="4" t="s">
        <v>18</v>
      </c>
      <c r="H188" s="5" t="n">
        <f>5.0</f>
        <v>5.0</v>
      </c>
    </row>
    <row r="189">
      <c r="A189" s="3" t="s">
        <v>112</v>
      </c>
      <c r="B189" s="4" t="s">
        <v>135</v>
      </c>
      <c r="C189" s="4" t="s">
        <v>136</v>
      </c>
      <c r="D189" s="3" t="n">
        <v>8.0</v>
      </c>
      <c r="E189" s="4" t="s">
        <v>58</v>
      </c>
      <c r="F189" s="4" t="s">
        <v>59</v>
      </c>
      <c r="G189" s="4" t="s">
        <v>60</v>
      </c>
      <c r="H189" s="5" t="n">
        <f>4.0</f>
        <v>4.0</v>
      </c>
    </row>
    <row r="190">
      <c r="A190" s="3" t="s">
        <v>112</v>
      </c>
      <c r="B190" s="4" t="s">
        <v>135</v>
      </c>
      <c r="C190" s="4" t="s">
        <v>136</v>
      </c>
      <c r="D190" s="3" t="n">
        <v>9.0</v>
      </c>
      <c r="E190" s="4" t="s">
        <v>55</v>
      </c>
      <c r="F190" s="4" t="s">
        <v>56</v>
      </c>
      <c r="G190" s="4" t="s">
        <v>57</v>
      </c>
      <c r="H190" s="5" t="n">
        <f>2.0</f>
        <v>2.0</v>
      </c>
    </row>
    <row r="191">
      <c r="A191" s="3" t="s">
        <v>112</v>
      </c>
      <c r="B191" s="4" t="s">
        <v>135</v>
      </c>
      <c r="C191" s="4" t="s">
        <v>136</v>
      </c>
      <c r="D191" s="3" t="n">
        <v>10.0</v>
      </c>
      <c r="E191" s="4" t="s">
        <v>78</v>
      </c>
      <c r="F191" s="4" t="s">
        <v>79</v>
      </c>
      <c r="G191" s="4" t="s">
        <v>80</v>
      </c>
      <c r="H191" s="5" t="n">
        <f>1.0</f>
        <v>1.0</v>
      </c>
    </row>
    <row r="192">
      <c r="A192" s="3" t="s">
        <v>112</v>
      </c>
      <c r="B192" s="4" t="s">
        <v>135</v>
      </c>
      <c r="C192" s="4" t="s">
        <v>136</v>
      </c>
      <c r="D192" s="3" t="n">
        <v>10.0</v>
      </c>
      <c r="E192" s="4" t="s">
        <v>43</v>
      </c>
      <c r="F192" s="4" t="s">
        <v>44</v>
      </c>
      <c r="G192" s="4" t="s">
        <v>45</v>
      </c>
      <c r="H192" s="5" t="n">
        <f>1.0</f>
        <v>1.0</v>
      </c>
    </row>
    <row r="193">
      <c r="A193" s="3" t="s">
        <v>112</v>
      </c>
      <c r="B193" s="4" t="s">
        <v>137</v>
      </c>
      <c r="C193" s="4" t="s">
        <v>138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13.0</f>
        <v>13.0</v>
      </c>
    </row>
    <row r="194">
      <c r="A194" s="3" t="s">
        <v>112</v>
      </c>
      <c r="B194" s="4" t="s">
        <v>137</v>
      </c>
      <c r="C194" s="4" t="s">
        <v>138</v>
      </c>
      <c r="D194" s="3" t="n">
        <v>2.0</v>
      </c>
      <c r="E194" s="4" t="s">
        <v>49</v>
      </c>
      <c r="F194" s="4" t="s">
        <v>50</v>
      </c>
      <c r="G194" s="4" t="s">
        <v>51</v>
      </c>
      <c r="H194" s="5" t="n">
        <f>5.0</f>
        <v>5.0</v>
      </c>
    </row>
    <row r="195">
      <c r="A195" s="3" t="s">
        <v>112</v>
      </c>
      <c r="B195" s="4" t="s">
        <v>137</v>
      </c>
      <c r="C195" s="4" t="s">
        <v>138</v>
      </c>
      <c r="D195" s="3" t="n">
        <v>3.0</v>
      </c>
      <c r="E195" s="4" t="s">
        <v>55</v>
      </c>
      <c r="F195" s="4" t="s">
        <v>56</v>
      </c>
      <c r="G195" s="4" t="s">
        <v>57</v>
      </c>
      <c r="H195" s="5" t="n">
        <f>4.0</f>
        <v>4.0</v>
      </c>
    </row>
    <row r="196">
      <c r="A196" s="3" t="s">
        <v>112</v>
      </c>
      <c r="B196" s="4" t="s">
        <v>137</v>
      </c>
      <c r="C196" s="4" t="s">
        <v>138</v>
      </c>
      <c r="D196" s="3" t="n">
        <v>4.0</v>
      </c>
      <c r="E196" s="4" t="s">
        <v>58</v>
      </c>
      <c r="F196" s="4" t="s">
        <v>59</v>
      </c>
      <c r="G196" s="4" t="s">
        <v>60</v>
      </c>
      <c r="H196" s="5" t="n">
        <f>2.0</f>
        <v>2.0</v>
      </c>
    </row>
    <row r="197">
      <c r="A197" s="3" t="s">
        <v>112</v>
      </c>
      <c r="B197" s="4" t="s">
        <v>139</v>
      </c>
      <c r="C197" s="4" t="s">
        <v>140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591.0</f>
        <v>591.0</v>
      </c>
    </row>
    <row r="198">
      <c r="A198" s="3" t="s">
        <v>112</v>
      </c>
      <c r="B198" s="4" t="s">
        <v>139</v>
      </c>
      <c r="C198" s="4" t="s">
        <v>140</v>
      </c>
      <c r="D198" s="3" t="n">
        <v>2.0</v>
      </c>
      <c r="E198" s="4" t="s">
        <v>28</v>
      </c>
      <c r="F198" s="4" t="s">
        <v>29</v>
      </c>
      <c r="G198" s="4" t="s">
        <v>30</v>
      </c>
      <c r="H198" s="5" t="n">
        <f>305.0</f>
        <v>305.0</v>
      </c>
    </row>
    <row r="199">
      <c r="A199" s="3" t="s">
        <v>112</v>
      </c>
      <c r="B199" s="4" t="s">
        <v>139</v>
      </c>
      <c r="C199" s="4" t="s">
        <v>140</v>
      </c>
      <c r="D199" s="3" t="n">
        <v>3.0</v>
      </c>
      <c r="E199" s="4" t="s">
        <v>31</v>
      </c>
      <c r="F199" s="4" t="s">
        <v>32</v>
      </c>
      <c r="G199" s="4" t="s">
        <v>33</v>
      </c>
      <c r="H199" s="5" t="n">
        <f>75.0</f>
        <v>75.0</v>
      </c>
    </row>
    <row r="200">
      <c r="A200" s="3" t="s">
        <v>112</v>
      </c>
      <c r="B200" s="4" t="s">
        <v>139</v>
      </c>
      <c r="C200" s="4" t="s">
        <v>140</v>
      </c>
      <c r="D200" s="3" t="n">
        <v>4.0</v>
      </c>
      <c r="E200" s="4" t="s">
        <v>46</v>
      </c>
      <c r="F200" s="4" t="s">
        <v>47</v>
      </c>
      <c r="G200" s="4" t="s">
        <v>48</v>
      </c>
      <c r="H200" s="5" t="n">
        <f>45.0</f>
        <v>45.0</v>
      </c>
    </row>
    <row r="201">
      <c r="A201" s="3" t="s">
        <v>112</v>
      </c>
      <c r="B201" s="4" t="s">
        <v>139</v>
      </c>
      <c r="C201" s="4" t="s">
        <v>140</v>
      </c>
      <c r="D201" s="3" t="n">
        <v>5.0</v>
      </c>
      <c r="E201" s="4" t="s">
        <v>40</v>
      </c>
      <c r="F201" s="4" t="s">
        <v>41</v>
      </c>
      <c r="G201" s="4" t="s">
        <v>42</v>
      </c>
      <c r="H201" s="5" t="n">
        <f>20.0</f>
        <v>20.0</v>
      </c>
    </row>
    <row r="202">
      <c r="A202" s="3" t="s">
        <v>112</v>
      </c>
      <c r="B202" s="4" t="s">
        <v>139</v>
      </c>
      <c r="C202" s="4" t="s">
        <v>140</v>
      </c>
      <c r="D202" s="3" t="n">
        <v>6.0</v>
      </c>
      <c r="E202" s="4" t="s">
        <v>58</v>
      </c>
      <c r="F202" s="4" t="s">
        <v>59</v>
      </c>
      <c r="G202" s="4" t="s">
        <v>60</v>
      </c>
      <c r="H202" s="5" t="n">
        <f>13.0</f>
        <v>13.0</v>
      </c>
    </row>
    <row r="203">
      <c r="A203" s="3" t="s">
        <v>112</v>
      </c>
      <c r="B203" s="4" t="s">
        <v>139</v>
      </c>
      <c r="C203" s="4" t="s">
        <v>140</v>
      </c>
      <c r="D203" s="3" t="n">
        <v>7.0</v>
      </c>
      <c r="E203" s="4" t="s">
        <v>16</v>
      </c>
      <c r="F203" s="4" t="s">
        <v>17</v>
      </c>
      <c r="G203" s="4" t="s">
        <v>18</v>
      </c>
      <c r="H203" s="5" t="n">
        <f>11.0</f>
        <v>11.0</v>
      </c>
    </row>
    <row r="204">
      <c r="A204" s="3" t="s">
        <v>112</v>
      </c>
      <c r="B204" s="4" t="s">
        <v>139</v>
      </c>
      <c r="C204" s="4" t="s">
        <v>140</v>
      </c>
      <c r="D204" s="3" t="n">
        <v>8.0</v>
      </c>
      <c r="E204" s="4" t="s">
        <v>78</v>
      </c>
      <c r="F204" s="4" t="s">
        <v>79</v>
      </c>
      <c r="G204" s="4" t="s">
        <v>80</v>
      </c>
      <c r="H204" s="5" t="n">
        <f>10.0</f>
        <v>10.0</v>
      </c>
    </row>
    <row r="205">
      <c r="A205" s="3" t="s">
        <v>112</v>
      </c>
      <c r="B205" s="4" t="s">
        <v>139</v>
      </c>
      <c r="C205" s="4" t="s">
        <v>140</v>
      </c>
      <c r="D205" s="3" t="n">
        <v>9.0</v>
      </c>
      <c r="E205" s="4" t="s">
        <v>90</v>
      </c>
      <c r="F205" s="4" t="s">
        <v>91</v>
      </c>
      <c r="G205" s="4" t="s">
        <v>92</v>
      </c>
      <c r="H205" s="5" t="n">
        <f>9.0</f>
        <v>9.0</v>
      </c>
    </row>
    <row r="206">
      <c r="A206" s="3" t="s">
        <v>112</v>
      </c>
      <c r="B206" s="4" t="s">
        <v>139</v>
      </c>
      <c r="C206" s="4" t="s">
        <v>140</v>
      </c>
      <c r="D206" s="3" t="n">
        <v>9.0</v>
      </c>
      <c r="E206" s="4" t="s">
        <v>49</v>
      </c>
      <c r="F206" s="4" t="s">
        <v>50</v>
      </c>
      <c r="G206" s="4" t="s">
        <v>51</v>
      </c>
      <c r="H206" s="5" t="n">
        <f>9.0</f>
        <v>9.0</v>
      </c>
    </row>
    <row r="207">
      <c r="A207" s="3" t="s">
        <v>112</v>
      </c>
      <c r="B207" s="4" t="s">
        <v>139</v>
      </c>
      <c r="C207" s="4" t="s">
        <v>140</v>
      </c>
      <c r="D207" s="3" t="n">
        <v>11.0</v>
      </c>
      <c r="E207" s="4" t="s">
        <v>55</v>
      </c>
      <c r="F207" s="4" t="s">
        <v>56</v>
      </c>
      <c r="G207" s="4" t="s">
        <v>57</v>
      </c>
      <c r="H207" s="5" t="n">
        <f>8.0</f>
        <v>8.0</v>
      </c>
    </row>
    <row r="208">
      <c r="A208" s="3" t="s">
        <v>112</v>
      </c>
      <c r="B208" s="4" t="s">
        <v>139</v>
      </c>
      <c r="C208" s="4" t="s">
        <v>140</v>
      </c>
      <c r="D208" s="3" t="n">
        <v>12.0</v>
      </c>
      <c r="E208" s="4" t="s">
        <v>122</v>
      </c>
      <c r="F208" s="4" t="s">
        <v>123</v>
      </c>
      <c r="G208" s="4" t="s">
        <v>124</v>
      </c>
      <c r="H208" s="5" t="n">
        <f>1.0</f>
        <v>1.0</v>
      </c>
    </row>
    <row r="209">
      <c r="A209" s="3" t="s">
        <v>112</v>
      </c>
      <c r="B209" s="4" t="s">
        <v>139</v>
      </c>
      <c r="C209" s="4" t="s">
        <v>140</v>
      </c>
      <c r="D209" s="3" t="n">
        <v>12.0</v>
      </c>
      <c r="E209" s="4" t="s">
        <v>119</v>
      </c>
      <c r="F209" s="4" t="s">
        <v>120</v>
      </c>
      <c r="G209" s="4" t="s">
        <v>121</v>
      </c>
      <c r="H209" s="5" t="n">
        <f>1.0</f>
        <v>1.0</v>
      </c>
    </row>
    <row r="210">
      <c r="A210" s="3" t="s">
        <v>112</v>
      </c>
      <c r="B210" s="4" t="s">
        <v>141</v>
      </c>
      <c r="C210" s="4" t="s">
        <v>142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451.0</f>
        <v>451.0</v>
      </c>
    </row>
    <row r="211">
      <c r="A211" s="3" t="s">
        <v>112</v>
      </c>
      <c r="B211" s="4" t="s">
        <v>141</v>
      </c>
      <c r="C211" s="4" t="s">
        <v>142</v>
      </c>
      <c r="D211" s="3" t="n">
        <v>2.0</v>
      </c>
      <c r="E211" s="4" t="s">
        <v>31</v>
      </c>
      <c r="F211" s="4" t="s">
        <v>32</v>
      </c>
      <c r="G211" s="4" t="s">
        <v>33</v>
      </c>
      <c r="H211" s="5" t="n">
        <f>20.0</f>
        <v>20.0</v>
      </c>
    </row>
    <row r="212">
      <c r="A212" s="3" t="s">
        <v>112</v>
      </c>
      <c r="B212" s="4" t="s">
        <v>141</v>
      </c>
      <c r="C212" s="4" t="s">
        <v>142</v>
      </c>
      <c r="D212" s="3" t="n">
        <v>3.0</v>
      </c>
      <c r="E212" s="4" t="s">
        <v>16</v>
      </c>
      <c r="F212" s="4" t="s">
        <v>17</v>
      </c>
      <c r="G212" s="4" t="s">
        <v>18</v>
      </c>
      <c r="H212" s="5" t="n">
        <f>15.0</f>
        <v>15.0</v>
      </c>
    </row>
    <row r="213">
      <c r="A213" s="3" t="s">
        <v>112</v>
      </c>
      <c r="B213" s="4" t="s">
        <v>141</v>
      </c>
      <c r="C213" s="4" t="s">
        <v>142</v>
      </c>
      <c r="D213" s="3" t="n">
        <v>4.0</v>
      </c>
      <c r="E213" s="4" t="s">
        <v>49</v>
      </c>
      <c r="F213" s="4" t="s">
        <v>50</v>
      </c>
      <c r="G213" s="4" t="s">
        <v>51</v>
      </c>
      <c r="H213" s="5" t="n">
        <f>9.0</f>
        <v>9.0</v>
      </c>
    </row>
    <row r="214">
      <c r="A214" s="3" t="s">
        <v>112</v>
      </c>
      <c r="B214" s="4" t="s">
        <v>141</v>
      </c>
      <c r="C214" s="4" t="s">
        <v>142</v>
      </c>
      <c r="D214" s="3" t="n">
        <v>5.0</v>
      </c>
      <c r="E214" s="4" t="s">
        <v>19</v>
      </c>
      <c r="F214" s="4" t="s">
        <v>20</v>
      </c>
      <c r="G214" s="4" t="s">
        <v>21</v>
      </c>
      <c r="H214" s="5" t="n">
        <f>7.0</f>
        <v>7.0</v>
      </c>
    </row>
    <row r="215">
      <c r="A215" s="3" t="s">
        <v>112</v>
      </c>
      <c r="B215" s="4" t="s">
        <v>141</v>
      </c>
      <c r="C215" s="4" t="s">
        <v>142</v>
      </c>
      <c r="D215" s="3" t="n">
        <v>6.0</v>
      </c>
      <c r="E215" s="4" t="s">
        <v>90</v>
      </c>
      <c r="F215" s="4" t="s">
        <v>91</v>
      </c>
      <c r="G215" s="4" t="s">
        <v>92</v>
      </c>
      <c r="H215" s="5" t="n">
        <f>2.0</f>
        <v>2.0</v>
      </c>
    </row>
    <row r="216">
      <c r="A216" s="3" t="s">
        <v>112</v>
      </c>
      <c r="B216" s="4" t="s">
        <v>141</v>
      </c>
      <c r="C216" s="4" t="s">
        <v>142</v>
      </c>
      <c r="D216" s="3" t="n">
        <v>6.0</v>
      </c>
      <c r="E216" s="4" t="s">
        <v>55</v>
      </c>
      <c r="F216" s="4" t="s">
        <v>56</v>
      </c>
      <c r="G216" s="4" t="s">
        <v>57</v>
      </c>
      <c r="H216" s="5" t="n">
        <f>2.0</f>
        <v>2.0</v>
      </c>
    </row>
    <row r="217">
      <c r="A217" s="3" t="s">
        <v>112</v>
      </c>
      <c r="B217" s="4" t="s">
        <v>141</v>
      </c>
      <c r="C217" s="4" t="s">
        <v>142</v>
      </c>
      <c r="D217" s="3" t="n">
        <v>8.0</v>
      </c>
      <c r="E217" s="4" t="s">
        <v>119</v>
      </c>
      <c r="F217" s="4" t="s">
        <v>120</v>
      </c>
      <c r="G217" s="4" t="s">
        <v>121</v>
      </c>
      <c r="H217" s="5" t="n">
        <f>1.0</f>
        <v>1.0</v>
      </c>
    </row>
    <row r="218">
      <c r="A218" s="3" t="s">
        <v>112</v>
      </c>
      <c r="B218" s="4" t="s">
        <v>141</v>
      </c>
      <c r="C218" s="4" t="s">
        <v>142</v>
      </c>
      <c r="D218" s="3" t="n">
        <v>8.0</v>
      </c>
      <c r="E218" s="4" t="s">
        <v>58</v>
      </c>
      <c r="F218" s="4" t="s">
        <v>59</v>
      </c>
      <c r="G218" s="4" t="s">
        <v>60</v>
      </c>
      <c r="H218" s="5" t="n">
        <f>1.0</f>
        <v>1.0</v>
      </c>
    </row>
    <row r="219">
      <c r="A219" s="3" t="s">
        <v>112</v>
      </c>
      <c r="B219" s="4" t="s">
        <v>143</v>
      </c>
      <c r="C219" s="4" t="s">
        <v>144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37.0</f>
        <v>37.0</v>
      </c>
    </row>
    <row r="220">
      <c r="A220" s="3" t="s">
        <v>112</v>
      </c>
      <c r="B220" s="4" t="s">
        <v>143</v>
      </c>
      <c r="C220" s="4" t="s">
        <v>144</v>
      </c>
      <c r="D220" s="3" t="n">
        <v>2.0</v>
      </c>
      <c r="E220" s="4" t="s">
        <v>46</v>
      </c>
      <c r="F220" s="4" t="s">
        <v>47</v>
      </c>
      <c r="G220" s="4" t="s">
        <v>48</v>
      </c>
      <c r="H220" s="5" t="n">
        <f>20.0</f>
        <v>20.0</v>
      </c>
    </row>
    <row r="221">
      <c r="A221" s="3" t="s">
        <v>112</v>
      </c>
      <c r="B221" s="4" t="s">
        <v>143</v>
      </c>
      <c r="C221" s="4" t="s">
        <v>144</v>
      </c>
      <c r="D221" s="3" t="n">
        <v>3.0</v>
      </c>
      <c r="E221" s="4" t="s">
        <v>16</v>
      </c>
      <c r="F221" s="4" t="s">
        <v>17</v>
      </c>
      <c r="G221" s="4" t="s">
        <v>18</v>
      </c>
      <c r="H221" s="5" t="n">
        <f>3.0</f>
        <v>3.0</v>
      </c>
    </row>
    <row r="222">
      <c r="A222" s="3" t="s">
        <v>112</v>
      </c>
      <c r="B222" s="4" t="s">
        <v>143</v>
      </c>
      <c r="C222" s="4" t="s">
        <v>144</v>
      </c>
      <c r="D222" s="3" t="n">
        <v>4.0</v>
      </c>
      <c r="E222" s="4" t="s">
        <v>49</v>
      </c>
      <c r="F222" s="4" t="s">
        <v>50</v>
      </c>
      <c r="G222" s="4" t="s">
        <v>51</v>
      </c>
      <c r="H222" s="5" t="n">
        <f>2.0</f>
        <v>2.0</v>
      </c>
    </row>
    <row r="223">
      <c r="A223" s="3" t="s">
        <v>112</v>
      </c>
      <c r="B223" s="4" t="s">
        <v>143</v>
      </c>
      <c r="C223" s="4" t="s">
        <v>144</v>
      </c>
      <c r="D223" s="3" t="n">
        <v>4.0</v>
      </c>
      <c r="E223" s="4" t="s">
        <v>58</v>
      </c>
      <c r="F223" s="4" t="s">
        <v>59</v>
      </c>
      <c r="G223" s="4" t="s">
        <v>60</v>
      </c>
      <c r="H223" s="5" t="n">
        <f>2.0</f>
        <v>2.0</v>
      </c>
    </row>
    <row r="224">
      <c r="A224" s="3" t="s">
        <v>112</v>
      </c>
      <c r="B224" s="4" t="s">
        <v>145</v>
      </c>
      <c r="C224" s="4" t="s">
        <v>146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153.0</f>
        <v>153.0</v>
      </c>
    </row>
    <row r="225">
      <c r="A225" s="3" t="s">
        <v>112</v>
      </c>
      <c r="B225" s="4" t="s">
        <v>145</v>
      </c>
      <c r="C225" s="4" t="s">
        <v>146</v>
      </c>
      <c r="D225" s="3" t="n">
        <v>2.0</v>
      </c>
      <c r="E225" s="4" t="s">
        <v>16</v>
      </c>
      <c r="F225" s="4" t="s">
        <v>17</v>
      </c>
      <c r="G225" s="4" t="s">
        <v>18</v>
      </c>
      <c r="H225" s="5" t="n">
        <f>80.0</f>
        <v>80.0</v>
      </c>
    </row>
    <row r="226">
      <c r="A226" s="3" t="s">
        <v>112</v>
      </c>
      <c r="B226" s="4" t="s">
        <v>145</v>
      </c>
      <c r="C226" s="4" t="s">
        <v>146</v>
      </c>
      <c r="D226" s="3" t="n">
        <v>3.0</v>
      </c>
      <c r="E226" s="4" t="s">
        <v>46</v>
      </c>
      <c r="F226" s="4" t="s">
        <v>47</v>
      </c>
      <c r="G226" s="4" t="s">
        <v>48</v>
      </c>
      <c r="H226" s="5" t="n">
        <f>50.0</f>
        <v>50.0</v>
      </c>
    </row>
    <row r="227">
      <c r="A227" s="3" t="s">
        <v>112</v>
      </c>
      <c r="B227" s="4" t="s">
        <v>145</v>
      </c>
      <c r="C227" s="4" t="s">
        <v>146</v>
      </c>
      <c r="D227" s="3" t="n">
        <v>4.0</v>
      </c>
      <c r="E227" s="4" t="s">
        <v>49</v>
      </c>
      <c r="F227" s="4" t="s">
        <v>50</v>
      </c>
      <c r="G227" s="4" t="s">
        <v>51</v>
      </c>
      <c r="H227" s="5" t="n">
        <f>20.0</f>
        <v>20.0</v>
      </c>
    </row>
    <row r="228">
      <c r="A228" s="3" t="s">
        <v>112</v>
      </c>
      <c r="B228" s="4" t="s">
        <v>145</v>
      </c>
      <c r="C228" s="4" t="s">
        <v>146</v>
      </c>
      <c r="D228" s="3" t="n">
        <v>5.0</v>
      </c>
      <c r="E228" s="4" t="s">
        <v>58</v>
      </c>
      <c r="F228" s="4" t="s">
        <v>59</v>
      </c>
      <c r="G228" s="4" t="s">
        <v>60</v>
      </c>
      <c r="H228" s="5" t="n">
        <f>16.0</f>
        <v>16.0</v>
      </c>
    </row>
    <row r="229">
      <c r="A229" s="3" t="s">
        <v>112</v>
      </c>
      <c r="B229" s="4" t="s">
        <v>145</v>
      </c>
      <c r="C229" s="4" t="s">
        <v>146</v>
      </c>
      <c r="D229" s="3" t="n">
        <v>6.0</v>
      </c>
      <c r="E229" s="4" t="s">
        <v>67</v>
      </c>
      <c r="F229" s="4" t="s">
        <v>68</v>
      </c>
      <c r="G229" s="4" t="s">
        <v>69</v>
      </c>
      <c r="H229" s="5" t="n">
        <f>10.0</f>
        <v>10.0</v>
      </c>
    </row>
    <row r="230">
      <c r="A230" s="3" t="s">
        <v>112</v>
      </c>
      <c r="B230" s="4" t="s">
        <v>145</v>
      </c>
      <c r="C230" s="4" t="s">
        <v>146</v>
      </c>
      <c r="D230" s="3" t="n">
        <v>6.0</v>
      </c>
      <c r="E230" s="4" t="s">
        <v>55</v>
      </c>
      <c r="F230" s="4" t="s">
        <v>56</v>
      </c>
      <c r="G230" s="4" t="s">
        <v>57</v>
      </c>
      <c r="H230" s="5" t="n">
        <f>10.0</f>
        <v>10.0</v>
      </c>
    </row>
    <row r="231">
      <c r="A231" s="3" t="s">
        <v>112</v>
      </c>
      <c r="B231" s="4" t="s">
        <v>145</v>
      </c>
      <c r="C231" s="4" t="s">
        <v>146</v>
      </c>
      <c r="D231" s="3" t="n">
        <v>8.0</v>
      </c>
      <c r="E231" s="4" t="s">
        <v>119</v>
      </c>
      <c r="F231" s="4" t="s">
        <v>120</v>
      </c>
      <c r="G231" s="4" t="s">
        <v>121</v>
      </c>
      <c r="H231" s="5" t="n">
        <f>6.0</f>
        <v>6.0</v>
      </c>
    </row>
    <row r="232">
      <c r="A232" s="3" t="s">
        <v>112</v>
      </c>
      <c r="B232" s="4" t="s">
        <v>145</v>
      </c>
      <c r="C232" s="4" t="s">
        <v>146</v>
      </c>
      <c r="D232" s="3" t="n">
        <v>9.0</v>
      </c>
      <c r="E232" s="4" t="s">
        <v>75</v>
      </c>
      <c r="F232" s="4" t="s">
        <v>76</v>
      </c>
      <c r="G232" s="4" t="s">
        <v>77</v>
      </c>
      <c r="H232" s="5" t="n">
        <f>2.0</f>
        <v>2.0</v>
      </c>
    </row>
    <row r="233">
      <c r="A233" s="3" t="s">
        <v>112</v>
      </c>
      <c r="B233" s="4" t="s">
        <v>145</v>
      </c>
      <c r="C233" s="4" t="s">
        <v>146</v>
      </c>
      <c r="D233" s="3" t="n">
        <v>9.0</v>
      </c>
      <c r="E233" s="4" t="s">
        <v>52</v>
      </c>
      <c r="F233" s="4" t="s">
        <v>53</v>
      </c>
      <c r="G233" s="4" t="s">
        <v>54</v>
      </c>
      <c r="H233" s="5" t="n">
        <f>2.0</f>
        <v>2.0</v>
      </c>
    </row>
    <row r="234">
      <c r="A234" s="3" t="s">
        <v>112</v>
      </c>
      <c r="B234" s="4" t="s">
        <v>145</v>
      </c>
      <c r="C234" s="4" t="s">
        <v>146</v>
      </c>
      <c r="D234" s="3" t="n">
        <v>11.0</v>
      </c>
      <c r="E234" s="4" t="s">
        <v>90</v>
      </c>
      <c r="F234" s="4" t="s">
        <v>91</v>
      </c>
      <c r="G234" s="4" t="s">
        <v>92</v>
      </c>
      <c r="H234" s="5" t="n">
        <f>1.0</f>
        <v>1.0</v>
      </c>
    </row>
    <row r="235">
      <c r="A235" s="3" t="s">
        <v>112</v>
      </c>
      <c r="B235" s="4" t="s">
        <v>145</v>
      </c>
      <c r="C235" s="4" t="s">
        <v>146</v>
      </c>
      <c r="D235" s="3" t="n">
        <v>11.0</v>
      </c>
      <c r="E235" s="4" t="s">
        <v>19</v>
      </c>
      <c r="F235" s="4" t="s">
        <v>20</v>
      </c>
      <c r="G235" s="4" t="s">
        <v>21</v>
      </c>
      <c r="H235" s="5" t="n">
        <f>1.0</f>
        <v>1.0</v>
      </c>
    </row>
    <row r="236">
      <c r="A236" s="3" t="s">
        <v>112</v>
      </c>
      <c r="B236" s="4" t="s">
        <v>145</v>
      </c>
      <c r="C236" s="4" t="s">
        <v>146</v>
      </c>
      <c r="D236" s="3" t="n">
        <v>11.0</v>
      </c>
      <c r="E236" s="4" t="s">
        <v>87</v>
      </c>
      <c r="F236" s="4" t="s">
        <v>88</v>
      </c>
      <c r="G236" s="4" t="s">
        <v>89</v>
      </c>
      <c r="H236" s="5" t="n">
        <f>1.0</f>
        <v>1.0</v>
      </c>
    </row>
    <row r="237">
      <c r="A237" s="3" t="s">
        <v>112</v>
      </c>
      <c r="B237" s="4" t="s">
        <v>147</v>
      </c>
      <c r="C237" s="4" t="s">
        <v>148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26.0</f>
        <v>26.0</v>
      </c>
    </row>
    <row r="238">
      <c r="A238" s="3" t="s">
        <v>112</v>
      </c>
      <c r="B238" s="4" t="s">
        <v>147</v>
      </c>
      <c r="C238" s="4" t="s">
        <v>148</v>
      </c>
      <c r="D238" s="3" t="n">
        <v>2.0</v>
      </c>
      <c r="E238" s="4" t="s">
        <v>16</v>
      </c>
      <c r="F238" s="4" t="s">
        <v>17</v>
      </c>
      <c r="G238" s="4" t="s">
        <v>18</v>
      </c>
      <c r="H238" s="5" t="n">
        <f>5.0</f>
        <v>5.0</v>
      </c>
    </row>
    <row r="239">
      <c r="A239" s="3" t="s">
        <v>112</v>
      </c>
      <c r="B239" s="4" t="s">
        <v>147</v>
      </c>
      <c r="C239" s="4" t="s">
        <v>148</v>
      </c>
      <c r="D239" s="3" t="n">
        <v>3.0</v>
      </c>
      <c r="E239" s="4" t="s">
        <v>49</v>
      </c>
      <c r="F239" s="4" t="s">
        <v>50</v>
      </c>
      <c r="G239" s="4" t="s">
        <v>51</v>
      </c>
      <c r="H239" s="5" t="n">
        <f>1.0</f>
        <v>1.0</v>
      </c>
    </row>
    <row r="240">
      <c r="A240" s="3" t="s">
        <v>112</v>
      </c>
      <c r="B240" s="4" t="s">
        <v>149</v>
      </c>
      <c r="C240" s="4" t="s">
        <v>150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168.0</f>
        <v>168.0</v>
      </c>
    </row>
    <row r="241">
      <c r="A241" s="3" t="s">
        <v>112</v>
      </c>
      <c r="B241" s="4" t="s">
        <v>149</v>
      </c>
      <c r="C241" s="4" t="s">
        <v>150</v>
      </c>
      <c r="D241" s="3" t="n">
        <v>2.0</v>
      </c>
      <c r="E241" s="4" t="s">
        <v>67</v>
      </c>
      <c r="F241" s="4" t="s">
        <v>68</v>
      </c>
      <c r="G241" s="4" t="s">
        <v>69</v>
      </c>
      <c r="H241" s="5" t="n">
        <f>35.0</f>
        <v>35.0</v>
      </c>
    </row>
    <row r="242">
      <c r="A242" s="3" t="s">
        <v>112</v>
      </c>
      <c r="B242" s="4" t="s">
        <v>149</v>
      </c>
      <c r="C242" s="4" t="s">
        <v>150</v>
      </c>
      <c r="D242" s="3" t="n">
        <v>3.0</v>
      </c>
      <c r="E242" s="4" t="s">
        <v>16</v>
      </c>
      <c r="F242" s="4" t="s">
        <v>17</v>
      </c>
      <c r="G242" s="4" t="s">
        <v>18</v>
      </c>
      <c r="H242" s="5" t="n">
        <f>17.0</f>
        <v>17.0</v>
      </c>
    </row>
    <row r="243">
      <c r="A243" s="3" t="s">
        <v>112</v>
      </c>
      <c r="B243" s="4" t="s">
        <v>149</v>
      </c>
      <c r="C243" s="4" t="s">
        <v>150</v>
      </c>
      <c r="D243" s="3" t="n">
        <v>4.0</v>
      </c>
      <c r="E243" s="4" t="s">
        <v>46</v>
      </c>
      <c r="F243" s="4" t="s">
        <v>47</v>
      </c>
      <c r="G243" s="4" t="s">
        <v>48</v>
      </c>
      <c r="H243" s="5" t="n">
        <f>15.0</f>
        <v>15.0</v>
      </c>
    </row>
    <row r="244">
      <c r="A244" s="3" t="s">
        <v>112</v>
      </c>
      <c r="B244" s="4" t="s">
        <v>149</v>
      </c>
      <c r="C244" s="4" t="s">
        <v>150</v>
      </c>
      <c r="D244" s="3" t="n">
        <v>5.0</v>
      </c>
      <c r="E244" s="4" t="s">
        <v>49</v>
      </c>
      <c r="F244" s="4" t="s">
        <v>50</v>
      </c>
      <c r="G244" s="4" t="s">
        <v>51</v>
      </c>
      <c r="H244" s="5" t="n">
        <f>7.0</f>
        <v>7.0</v>
      </c>
    </row>
    <row r="245">
      <c r="A245" s="3" t="s">
        <v>112</v>
      </c>
      <c r="B245" s="4" t="s">
        <v>149</v>
      </c>
      <c r="C245" s="4" t="s">
        <v>150</v>
      </c>
      <c r="D245" s="3" t="n">
        <v>5.0</v>
      </c>
      <c r="E245" s="4" t="s">
        <v>31</v>
      </c>
      <c r="F245" s="4" t="s">
        <v>32</v>
      </c>
      <c r="G245" s="4" t="s">
        <v>33</v>
      </c>
      <c r="H245" s="5" t="n">
        <f>7.0</f>
        <v>7.0</v>
      </c>
    </row>
    <row r="246">
      <c r="A246" s="3" t="s">
        <v>112</v>
      </c>
      <c r="B246" s="4" t="s">
        <v>149</v>
      </c>
      <c r="C246" s="4" t="s">
        <v>150</v>
      </c>
      <c r="D246" s="3" t="n">
        <v>5.0</v>
      </c>
      <c r="E246" s="4" t="s">
        <v>52</v>
      </c>
      <c r="F246" s="4" t="s">
        <v>53</v>
      </c>
      <c r="G246" s="4" t="s">
        <v>54</v>
      </c>
      <c r="H246" s="5" t="n">
        <f>7.0</f>
        <v>7.0</v>
      </c>
    </row>
    <row r="247">
      <c r="A247" s="3" t="s">
        <v>112</v>
      </c>
      <c r="B247" s="4" t="s">
        <v>149</v>
      </c>
      <c r="C247" s="4" t="s">
        <v>150</v>
      </c>
      <c r="D247" s="3" t="n">
        <v>8.0</v>
      </c>
      <c r="E247" s="4" t="s">
        <v>55</v>
      </c>
      <c r="F247" s="4" t="s">
        <v>56</v>
      </c>
      <c r="G247" s="4" t="s">
        <v>57</v>
      </c>
      <c r="H247" s="5" t="n">
        <f>5.0</f>
        <v>5.0</v>
      </c>
    </row>
    <row r="248">
      <c r="A248" s="3" t="s">
        <v>112</v>
      </c>
      <c r="B248" s="4" t="s">
        <v>149</v>
      </c>
      <c r="C248" s="4" t="s">
        <v>150</v>
      </c>
      <c r="D248" s="3" t="n">
        <v>9.0</v>
      </c>
      <c r="E248" s="4" t="s">
        <v>58</v>
      </c>
      <c r="F248" s="4" t="s">
        <v>59</v>
      </c>
      <c r="G248" s="4" t="s">
        <v>60</v>
      </c>
      <c r="H248" s="5" t="n">
        <f>3.0</f>
        <v>3.0</v>
      </c>
    </row>
    <row r="249">
      <c r="A249" s="3" t="s">
        <v>112</v>
      </c>
      <c r="B249" s="4" t="s">
        <v>149</v>
      </c>
      <c r="C249" s="4" t="s">
        <v>150</v>
      </c>
      <c r="D249" s="3" t="n">
        <v>10.0</v>
      </c>
      <c r="E249" s="4" t="s">
        <v>119</v>
      </c>
      <c r="F249" s="4" t="s">
        <v>120</v>
      </c>
      <c r="G249" s="4" t="s">
        <v>121</v>
      </c>
      <c r="H249" s="5" t="n">
        <f>2.0</f>
        <v>2.0</v>
      </c>
    </row>
    <row r="250">
      <c r="A250" s="3" t="s">
        <v>112</v>
      </c>
      <c r="B250" s="4" t="s">
        <v>149</v>
      </c>
      <c r="C250" s="4" t="s">
        <v>150</v>
      </c>
      <c r="D250" s="3" t="n">
        <v>11.0</v>
      </c>
      <c r="E250" s="4" t="s">
        <v>43</v>
      </c>
      <c r="F250" s="4" t="s">
        <v>44</v>
      </c>
      <c r="G250" s="4" t="s">
        <v>45</v>
      </c>
      <c r="H250" s="5" t="n">
        <f>1.0</f>
        <v>1.0</v>
      </c>
    </row>
    <row r="251">
      <c r="A251" s="3" t="s">
        <v>112</v>
      </c>
      <c r="B251" s="4" t="s">
        <v>149</v>
      </c>
      <c r="C251" s="4" t="s">
        <v>150</v>
      </c>
      <c r="D251" s="3" t="n">
        <v>11.0</v>
      </c>
      <c r="E251" s="4" t="s">
        <v>19</v>
      </c>
      <c r="F251" s="4" t="s">
        <v>20</v>
      </c>
      <c r="G251" s="4" t="s">
        <v>21</v>
      </c>
      <c r="H251" s="5" t="n">
        <f>1.0</f>
        <v>1.0</v>
      </c>
    </row>
    <row r="252">
      <c r="A252" s="3" t="s">
        <v>112</v>
      </c>
      <c r="B252" s="4" t="s">
        <v>151</v>
      </c>
      <c r="C252" s="4" t="s">
        <v>152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19.0</f>
        <v>19.0</v>
      </c>
    </row>
    <row r="253">
      <c r="A253" s="3" t="s">
        <v>112</v>
      </c>
      <c r="B253" s="4" t="s">
        <v>151</v>
      </c>
      <c r="C253" s="4" t="s">
        <v>152</v>
      </c>
      <c r="D253" s="3" t="n">
        <v>2.0</v>
      </c>
      <c r="E253" s="4" t="s">
        <v>16</v>
      </c>
      <c r="F253" s="4" t="s">
        <v>17</v>
      </c>
      <c r="G253" s="4" t="s">
        <v>18</v>
      </c>
      <c r="H253" s="5" t="n">
        <f>8.0</f>
        <v>8.0</v>
      </c>
    </row>
    <row r="254">
      <c r="A254" s="3" t="s">
        <v>112</v>
      </c>
      <c r="B254" s="4" t="s">
        <v>151</v>
      </c>
      <c r="C254" s="4" t="s">
        <v>152</v>
      </c>
      <c r="D254" s="3" t="n">
        <v>3.0</v>
      </c>
      <c r="E254" s="4" t="s">
        <v>46</v>
      </c>
      <c r="F254" s="4" t="s">
        <v>47</v>
      </c>
      <c r="G254" s="4" t="s">
        <v>48</v>
      </c>
      <c r="H254" s="5" t="n">
        <f>1.0</f>
        <v>1.0</v>
      </c>
    </row>
    <row r="255">
      <c r="A255" s="3" t="s">
        <v>112</v>
      </c>
      <c r="B255" s="4" t="s">
        <v>151</v>
      </c>
      <c r="C255" s="4" t="s">
        <v>152</v>
      </c>
      <c r="D255" s="3" t="n">
        <v>3.0</v>
      </c>
      <c r="E255" s="4" t="s">
        <v>49</v>
      </c>
      <c r="F255" s="4" t="s">
        <v>50</v>
      </c>
      <c r="G255" s="4" t="s">
        <v>51</v>
      </c>
      <c r="H255" s="5" t="n">
        <f>1.0</f>
        <v>1.0</v>
      </c>
    </row>
    <row r="256">
      <c r="A256" s="3" t="s">
        <v>112</v>
      </c>
      <c r="B256" s="4" t="s">
        <v>151</v>
      </c>
      <c r="C256" s="4" t="s">
        <v>152</v>
      </c>
      <c r="D256" s="3" t="n">
        <v>3.0</v>
      </c>
      <c r="E256" s="4" t="s">
        <v>58</v>
      </c>
      <c r="F256" s="4" t="s">
        <v>59</v>
      </c>
      <c r="G256" s="4" t="s">
        <v>60</v>
      </c>
      <c r="H256" s="5" t="n">
        <f>1.0</f>
        <v>1.0</v>
      </c>
    </row>
    <row r="257">
      <c r="A257" s="3" t="s">
        <v>112</v>
      </c>
      <c r="B257" s="4" t="s">
        <v>153</v>
      </c>
      <c r="C257" s="4" t="s">
        <v>154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463.0</f>
        <v>463.0</v>
      </c>
    </row>
    <row r="258">
      <c r="A258" s="3" t="s">
        <v>112</v>
      </c>
      <c r="B258" s="4" t="s">
        <v>153</v>
      </c>
      <c r="C258" s="4" t="s">
        <v>154</v>
      </c>
      <c r="D258" s="3" t="n">
        <v>2.0</v>
      </c>
      <c r="E258" s="4" t="s">
        <v>46</v>
      </c>
      <c r="F258" s="4" t="s">
        <v>47</v>
      </c>
      <c r="G258" s="4" t="s">
        <v>48</v>
      </c>
      <c r="H258" s="5" t="n">
        <f>124.0</f>
        <v>124.0</v>
      </c>
    </row>
    <row r="259">
      <c r="A259" s="3" t="s">
        <v>112</v>
      </c>
      <c r="B259" s="4" t="s">
        <v>153</v>
      </c>
      <c r="C259" s="4" t="s">
        <v>154</v>
      </c>
      <c r="D259" s="3" t="n">
        <v>3.0</v>
      </c>
      <c r="E259" s="4" t="s">
        <v>55</v>
      </c>
      <c r="F259" s="4" t="s">
        <v>56</v>
      </c>
      <c r="G259" s="4" t="s">
        <v>57</v>
      </c>
      <c r="H259" s="5" t="n">
        <f>80.0</f>
        <v>80.0</v>
      </c>
    </row>
    <row r="260">
      <c r="A260" s="3" t="s">
        <v>112</v>
      </c>
      <c r="B260" s="4" t="s">
        <v>153</v>
      </c>
      <c r="C260" s="4" t="s">
        <v>154</v>
      </c>
      <c r="D260" s="3" t="n">
        <v>4.0</v>
      </c>
      <c r="E260" s="4" t="s">
        <v>31</v>
      </c>
      <c r="F260" s="4" t="s">
        <v>32</v>
      </c>
      <c r="G260" s="4" t="s">
        <v>33</v>
      </c>
      <c r="H260" s="5" t="n">
        <f>50.0</f>
        <v>50.0</v>
      </c>
    </row>
    <row r="261">
      <c r="A261" s="3" t="s">
        <v>112</v>
      </c>
      <c r="B261" s="4" t="s">
        <v>153</v>
      </c>
      <c r="C261" s="4" t="s">
        <v>154</v>
      </c>
      <c r="D261" s="3" t="n">
        <v>5.0</v>
      </c>
      <c r="E261" s="4" t="s">
        <v>16</v>
      </c>
      <c r="F261" s="4" t="s">
        <v>17</v>
      </c>
      <c r="G261" s="4" t="s">
        <v>18</v>
      </c>
      <c r="H261" s="5" t="n">
        <f>38.0</f>
        <v>38.0</v>
      </c>
    </row>
    <row r="262">
      <c r="A262" s="3" t="s">
        <v>112</v>
      </c>
      <c r="B262" s="4" t="s">
        <v>153</v>
      </c>
      <c r="C262" s="4" t="s">
        <v>154</v>
      </c>
      <c r="D262" s="3" t="n">
        <v>6.0</v>
      </c>
      <c r="E262" s="4" t="s">
        <v>90</v>
      </c>
      <c r="F262" s="4" t="s">
        <v>91</v>
      </c>
      <c r="G262" s="4" t="s">
        <v>92</v>
      </c>
      <c r="H262" s="5" t="n">
        <f>35.0</f>
        <v>35.0</v>
      </c>
    </row>
    <row r="263">
      <c r="A263" s="3" t="s">
        <v>112</v>
      </c>
      <c r="B263" s="4" t="s">
        <v>153</v>
      </c>
      <c r="C263" s="4" t="s">
        <v>154</v>
      </c>
      <c r="D263" s="3" t="n">
        <v>7.0</v>
      </c>
      <c r="E263" s="4" t="s">
        <v>67</v>
      </c>
      <c r="F263" s="4" t="s">
        <v>68</v>
      </c>
      <c r="G263" s="4" t="s">
        <v>69</v>
      </c>
      <c r="H263" s="5" t="n">
        <f>25.0</f>
        <v>25.0</v>
      </c>
    </row>
    <row r="264">
      <c r="A264" s="3" t="s">
        <v>112</v>
      </c>
      <c r="B264" s="4" t="s">
        <v>153</v>
      </c>
      <c r="C264" s="4" t="s">
        <v>154</v>
      </c>
      <c r="D264" s="3" t="n">
        <v>8.0</v>
      </c>
      <c r="E264" s="4" t="s">
        <v>58</v>
      </c>
      <c r="F264" s="4" t="s">
        <v>59</v>
      </c>
      <c r="G264" s="4" t="s">
        <v>60</v>
      </c>
      <c r="H264" s="5" t="n">
        <f>17.0</f>
        <v>17.0</v>
      </c>
    </row>
    <row r="265">
      <c r="A265" s="3" t="s">
        <v>112</v>
      </c>
      <c r="B265" s="4" t="s">
        <v>153</v>
      </c>
      <c r="C265" s="4" t="s">
        <v>154</v>
      </c>
      <c r="D265" s="3" t="n">
        <v>9.0</v>
      </c>
      <c r="E265" s="4" t="s">
        <v>49</v>
      </c>
      <c r="F265" s="4" t="s">
        <v>50</v>
      </c>
      <c r="G265" s="4" t="s">
        <v>51</v>
      </c>
      <c r="H265" s="5" t="n">
        <f>11.0</f>
        <v>11.0</v>
      </c>
    </row>
    <row r="266">
      <c r="A266" s="3" t="s">
        <v>112</v>
      </c>
      <c r="B266" s="4" t="s">
        <v>153</v>
      </c>
      <c r="C266" s="4" t="s">
        <v>154</v>
      </c>
      <c r="D266" s="3" t="n">
        <v>10.0</v>
      </c>
      <c r="E266" s="4" t="s">
        <v>119</v>
      </c>
      <c r="F266" s="4" t="s">
        <v>120</v>
      </c>
      <c r="G266" s="4" t="s">
        <v>121</v>
      </c>
      <c r="H266" s="5" t="n">
        <f>5.0</f>
        <v>5.0</v>
      </c>
    </row>
    <row r="267">
      <c r="A267" s="3" t="s">
        <v>112</v>
      </c>
      <c r="B267" s="4" t="s">
        <v>153</v>
      </c>
      <c r="C267" s="4" t="s">
        <v>154</v>
      </c>
      <c r="D267" s="3" t="n">
        <v>11.0</v>
      </c>
      <c r="E267" s="4" t="s">
        <v>78</v>
      </c>
      <c r="F267" s="4" t="s">
        <v>79</v>
      </c>
      <c r="G267" s="4" t="s">
        <v>80</v>
      </c>
      <c r="H267" s="5" t="n">
        <f>4.0</f>
        <v>4.0</v>
      </c>
    </row>
    <row r="268">
      <c r="A268" s="3" t="s">
        <v>112</v>
      </c>
      <c r="B268" s="4" t="s">
        <v>153</v>
      </c>
      <c r="C268" s="4" t="s">
        <v>154</v>
      </c>
      <c r="D268" s="3" t="n">
        <v>11.0</v>
      </c>
      <c r="E268" s="4" t="s">
        <v>19</v>
      </c>
      <c r="F268" s="4" t="s">
        <v>20</v>
      </c>
      <c r="G268" s="4" t="s">
        <v>21</v>
      </c>
      <c r="H268" s="5" t="n">
        <f>4.0</f>
        <v>4.0</v>
      </c>
    </row>
    <row r="269">
      <c r="A269" s="3" t="s">
        <v>112</v>
      </c>
      <c r="B269" s="4" t="s">
        <v>153</v>
      </c>
      <c r="C269" s="4" t="s">
        <v>154</v>
      </c>
      <c r="D269" s="3" t="n">
        <v>13.0</v>
      </c>
      <c r="E269" s="4" t="s">
        <v>28</v>
      </c>
      <c r="F269" s="4" t="s">
        <v>29</v>
      </c>
      <c r="G269" s="4" t="s">
        <v>30</v>
      </c>
      <c r="H269" s="5" t="n">
        <f>3.0</f>
        <v>3.0</v>
      </c>
    </row>
    <row r="270">
      <c r="A270" s="3" t="s">
        <v>112</v>
      </c>
      <c r="B270" s="4" t="s">
        <v>153</v>
      </c>
      <c r="C270" s="4" t="s">
        <v>154</v>
      </c>
      <c r="D270" s="3" t="n">
        <v>14.0</v>
      </c>
      <c r="E270" s="4" t="s">
        <v>122</v>
      </c>
      <c r="F270" s="4" t="s">
        <v>123</v>
      </c>
      <c r="G270" s="4" t="s">
        <v>124</v>
      </c>
      <c r="H270" s="5" t="n">
        <f>1.0</f>
        <v>1.0</v>
      </c>
    </row>
    <row r="271">
      <c r="A271" s="3" t="s">
        <v>112</v>
      </c>
      <c r="B271" s="4" t="s">
        <v>153</v>
      </c>
      <c r="C271" s="4" t="s">
        <v>154</v>
      </c>
      <c r="D271" s="3" t="n">
        <v>14.0</v>
      </c>
      <c r="E271" s="4" t="s">
        <v>43</v>
      </c>
      <c r="F271" s="4" t="s">
        <v>44</v>
      </c>
      <c r="G271" s="4" t="s">
        <v>45</v>
      </c>
      <c r="H271" s="5" t="n">
        <f>1.0</f>
        <v>1.0</v>
      </c>
    </row>
    <row r="272">
      <c r="A272" s="3" t="s">
        <v>112</v>
      </c>
      <c r="B272" s="4" t="s">
        <v>153</v>
      </c>
      <c r="C272" s="4" t="s">
        <v>154</v>
      </c>
      <c r="D272" s="3" t="n">
        <v>14.0</v>
      </c>
      <c r="E272" s="4" t="s">
        <v>52</v>
      </c>
      <c r="F272" s="4" t="s">
        <v>53</v>
      </c>
      <c r="G272" s="4" t="s">
        <v>54</v>
      </c>
      <c r="H272" s="5" t="n">
        <f>1.0</f>
        <v>1.0</v>
      </c>
    </row>
    <row r="273">
      <c r="A273" s="3" t="s">
        <v>112</v>
      </c>
      <c r="B273" s="4" t="s">
        <v>155</v>
      </c>
      <c r="C273" s="4" t="s">
        <v>156</v>
      </c>
      <c r="D273" s="3" t="n">
        <v>1.0</v>
      </c>
      <c r="E273" s="4" t="s">
        <v>13</v>
      </c>
      <c r="F273" s="4" t="s">
        <v>14</v>
      </c>
      <c r="G273" s="4" t="s">
        <v>15</v>
      </c>
      <c r="H273" s="5" t="n">
        <f>10.0</f>
        <v>10.0</v>
      </c>
    </row>
    <row r="274">
      <c r="A274" s="3" t="s">
        <v>112</v>
      </c>
      <c r="B274" s="4" t="s">
        <v>155</v>
      </c>
      <c r="C274" s="4" t="s">
        <v>156</v>
      </c>
      <c r="D274" s="3" t="n">
        <v>2.0</v>
      </c>
      <c r="E274" s="4" t="s">
        <v>49</v>
      </c>
      <c r="F274" s="4" t="s">
        <v>50</v>
      </c>
      <c r="G274" s="4" t="s">
        <v>51</v>
      </c>
      <c r="H274" s="5" t="n">
        <f>4.0</f>
        <v>4.0</v>
      </c>
    </row>
    <row r="275">
      <c r="A275" s="3" t="s">
        <v>112</v>
      </c>
      <c r="B275" s="4" t="s">
        <v>155</v>
      </c>
      <c r="C275" s="4" t="s">
        <v>156</v>
      </c>
      <c r="D275" s="3" t="n">
        <v>3.0</v>
      </c>
      <c r="E275" s="4" t="s">
        <v>58</v>
      </c>
      <c r="F275" s="4" t="s">
        <v>59</v>
      </c>
      <c r="G275" s="4" t="s">
        <v>60</v>
      </c>
      <c r="H275" s="5" t="n">
        <f>2.0</f>
        <v>2.0</v>
      </c>
    </row>
    <row r="276">
      <c r="A276" s="3" t="s">
        <v>112</v>
      </c>
      <c r="B276" s="4" t="s">
        <v>155</v>
      </c>
      <c r="C276" s="4" t="s">
        <v>156</v>
      </c>
      <c r="D276" s="3" t="n">
        <v>4.0</v>
      </c>
      <c r="E276" s="4" t="s">
        <v>46</v>
      </c>
      <c r="F276" s="4" t="s">
        <v>47</v>
      </c>
      <c r="G276" s="4" t="s">
        <v>48</v>
      </c>
      <c r="H276" s="5" t="n">
        <f>1.0</f>
        <v>1.0</v>
      </c>
    </row>
    <row r="277">
      <c r="A277" s="3" t="s">
        <v>112</v>
      </c>
      <c r="B277" s="4" t="s">
        <v>155</v>
      </c>
      <c r="C277" s="4" t="s">
        <v>156</v>
      </c>
      <c r="D277" s="3" t="n">
        <v>4.0</v>
      </c>
      <c r="E277" s="4" t="s">
        <v>19</v>
      </c>
      <c r="F277" s="4" t="s">
        <v>20</v>
      </c>
      <c r="G277" s="4" t="s">
        <v>21</v>
      </c>
      <c r="H277" s="5" t="n">
        <f>1.0</f>
        <v>1.0</v>
      </c>
    </row>
    <row r="278">
      <c r="A278" s="3" t="s">
        <v>112</v>
      </c>
      <c r="B278" s="4" t="s">
        <v>157</v>
      </c>
      <c r="C278" s="4" t="s">
        <v>158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173.0</f>
        <v>173.0</v>
      </c>
    </row>
    <row r="279">
      <c r="A279" s="3" t="s">
        <v>112</v>
      </c>
      <c r="B279" s="4" t="s">
        <v>157</v>
      </c>
      <c r="C279" s="4" t="s">
        <v>158</v>
      </c>
      <c r="D279" s="3" t="n">
        <v>2.0</v>
      </c>
      <c r="E279" s="4" t="s">
        <v>49</v>
      </c>
      <c r="F279" s="4" t="s">
        <v>50</v>
      </c>
      <c r="G279" s="4" t="s">
        <v>51</v>
      </c>
      <c r="H279" s="5" t="n">
        <f>14.0</f>
        <v>14.0</v>
      </c>
    </row>
    <row r="280">
      <c r="A280" s="3" t="s">
        <v>112</v>
      </c>
      <c r="B280" s="4" t="s">
        <v>157</v>
      </c>
      <c r="C280" s="4" t="s">
        <v>158</v>
      </c>
      <c r="D280" s="3" t="n">
        <v>3.0</v>
      </c>
      <c r="E280" s="4" t="s">
        <v>46</v>
      </c>
      <c r="F280" s="4" t="s">
        <v>47</v>
      </c>
      <c r="G280" s="4" t="s">
        <v>48</v>
      </c>
      <c r="H280" s="5" t="n">
        <f>12.0</f>
        <v>12.0</v>
      </c>
    </row>
    <row r="281">
      <c r="A281" s="3" t="s">
        <v>112</v>
      </c>
      <c r="B281" s="4" t="s">
        <v>157</v>
      </c>
      <c r="C281" s="4" t="s">
        <v>158</v>
      </c>
      <c r="D281" s="3" t="n">
        <v>4.0</v>
      </c>
      <c r="E281" s="4" t="s">
        <v>55</v>
      </c>
      <c r="F281" s="4" t="s">
        <v>56</v>
      </c>
      <c r="G281" s="4" t="s">
        <v>57</v>
      </c>
      <c r="H281" s="5" t="n">
        <f>4.0</f>
        <v>4.0</v>
      </c>
    </row>
    <row r="282">
      <c r="A282" s="3" t="s">
        <v>112</v>
      </c>
      <c r="B282" s="4" t="s">
        <v>157</v>
      </c>
      <c r="C282" s="4" t="s">
        <v>158</v>
      </c>
      <c r="D282" s="3" t="n">
        <v>5.0</v>
      </c>
      <c r="E282" s="4" t="s">
        <v>58</v>
      </c>
      <c r="F282" s="4" t="s">
        <v>59</v>
      </c>
      <c r="G282" s="4" t="s">
        <v>60</v>
      </c>
      <c r="H282" s="5" t="n">
        <f>3.0</f>
        <v>3.0</v>
      </c>
    </row>
    <row r="283">
      <c r="A283" s="3" t="s">
        <v>112</v>
      </c>
      <c r="B283" s="4" t="s">
        <v>157</v>
      </c>
      <c r="C283" s="4" t="s">
        <v>158</v>
      </c>
      <c r="D283" s="3" t="n">
        <v>6.0</v>
      </c>
      <c r="E283" s="4" t="s">
        <v>16</v>
      </c>
      <c r="F283" s="4" t="s">
        <v>17</v>
      </c>
      <c r="G283" s="4" t="s">
        <v>18</v>
      </c>
      <c r="H283" s="5" t="n">
        <f>2.0</f>
        <v>2.0</v>
      </c>
    </row>
    <row r="284">
      <c r="A284" s="3" t="s">
        <v>112</v>
      </c>
      <c r="B284" s="4" t="s">
        <v>159</v>
      </c>
      <c r="C284" s="4" t="s">
        <v>160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5.0</f>
        <v>5.0</v>
      </c>
    </row>
    <row r="285">
      <c r="A285" s="3" t="s">
        <v>112</v>
      </c>
      <c r="B285" s="4" t="s">
        <v>159</v>
      </c>
      <c r="C285" s="4" t="s">
        <v>160</v>
      </c>
      <c r="D285" s="3" t="n">
        <v>2.0</v>
      </c>
      <c r="E285" s="4" t="s">
        <v>49</v>
      </c>
      <c r="F285" s="4" t="s">
        <v>50</v>
      </c>
      <c r="G285" s="4" t="s">
        <v>51</v>
      </c>
      <c r="H285" s="5" t="n">
        <f>2.0</f>
        <v>2.0</v>
      </c>
    </row>
    <row r="286">
      <c r="A286" s="3" t="s">
        <v>112</v>
      </c>
      <c r="B286" s="4" t="s">
        <v>159</v>
      </c>
      <c r="C286" s="4" t="s">
        <v>160</v>
      </c>
      <c r="D286" s="3" t="n">
        <v>3.0</v>
      </c>
      <c r="E286" s="4" t="s">
        <v>58</v>
      </c>
      <c r="F286" s="4" t="s">
        <v>59</v>
      </c>
      <c r="G286" s="4" t="s">
        <v>60</v>
      </c>
      <c r="H286" s="5" t="n">
        <f>1.0</f>
        <v>1.0</v>
      </c>
    </row>
    <row r="287">
      <c r="A287" s="3" t="s">
        <v>112</v>
      </c>
      <c r="B287" s="4" t="s">
        <v>161</v>
      </c>
      <c r="C287" s="4" t="s">
        <v>162</v>
      </c>
      <c r="D287" s="3" t="n">
        <v>1.0</v>
      </c>
      <c r="E287" s="4" t="s">
        <v>13</v>
      </c>
      <c r="F287" s="4" t="s">
        <v>14</v>
      </c>
      <c r="G287" s="4" t="s">
        <v>15</v>
      </c>
      <c r="H287" s="5" t="n">
        <f>41.0</f>
        <v>41.0</v>
      </c>
    </row>
    <row r="288">
      <c r="A288" s="3" t="s">
        <v>112</v>
      </c>
      <c r="B288" s="4" t="s">
        <v>161</v>
      </c>
      <c r="C288" s="4" t="s">
        <v>162</v>
      </c>
      <c r="D288" s="3" t="n">
        <v>2.0</v>
      </c>
      <c r="E288" s="4" t="s">
        <v>55</v>
      </c>
      <c r="F288" s="4" t="s">
        <v>56</v>
      </c>
      <c r="G288" s="4" t="s">
        <v>57</v>
      </c>
      <c r="H288" s="5" t="n">
        <f>33.0</f>
        <v>33.0</v>
      </c>
    </row>
    <row r="289">
      <c r="A289" s="3" t="s">
        <v>112</v>
      </c>
      <c r="B289" s="4" t="s">
        <v>161</v>
      </c>
      <c r="C289" s="4" t="s">
        <v>162</v>
      </c>
      <c r="D289" s="3" t="n">
        <v>3.0</v>
      </c>
      <c r="E289" s="4" t="s">
        <v>58</v>
      </c>
      <c r="F289" s="4" t="s">
        <v>59</v>
      </c>
      <c r="G289" s="4" t="s">
        <v>60</v>
      </c>
      <c r="H289" s="5" t="n">
        <f>2.0</f>
        <v>2.0</v>
      </c>
    </row>
    <row r="290">
      <c r="A290" s="3" t="s">
        <v>112</v>
      </c>
      <c r="B290" s="4" t="s">
        <v>161</v>
      </c>
      <c r="C290" s="4" t="s">
        <v>162</v>
      </c>
      <c r="D290" s="3" t="n">
        <v>4.0</v>
      </c>
      <c r="E290" s="4" t="s">
        <v>46</v>
      </c>
      <c r="F290" s="4" t="s">
        <v>47</v>
      </c>
      <c r="G290" s="4" t="s">
        <v>48</v>
      </c>
      <c r="H290" s="5" t="n">
        <f>1.0</f>
        <v>1.0</v>
      </c>
    </row>
    <row r="291">
      <c r="A291" s="3" t="s">
        <v>112</v>
      </c>
      <c r="B291" s="4" t="s">
        <v>161</v>
      </c>
      <c r="C291" s="4" t="s">
        <v>162</v>
      </c>
      <c r="D291" s="3" t="n">
        <v>4.0</v>
      </c>
      <c r="E291" s="4" t="s">
        <v>43</v>
      </c>
      <c r="F291" s="4" t="s">
        <v>44</v>
      </c>
      <c r="G291" s="4" t="s">
        <v>45</v>
      </c>
      <c r="H291" s="5" t="n">
        <f>1.0</f>
        <v>1.0</v>
      </c>
    </row>
    <row r="292">
      <c r="A292" s="3" t="s">
        <v>163</v>
      </c>
      <c r="B292" s="4" t="s">
        <v>164</v>
      </c>
      <c r="C292" s="4" t="s">
        <v>165</v>
      </c>
      <c r="D292" s="3" t="n">
        <v>1.0</v>
      </c>
      <c r="E292" s="4" t="s">
        <v>166</v>
      </c>
      <c r="F292" s="4" t="s">
        <v>167</v>
      </c>
      <c r="G292" s="4" t="s">
        <v>168</v>
      </c>
      <c r="H292" s="5" t="n">
        <f>5000.0</f>
        <v>5000.0</v>
      </c>
    </row>
    <row r="293">
      <c r="A293" s="3" t="s">
        <v>163</v>
      </c>
      <c r="B293" s="4" t="s">
        <v>164</v>
      </c>
      <c r="C293" s="4" t="s">
        <v>165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5000.0</f>
        <v>5000.0</v>
      </c>
    </row>
    <row r="294">
      <c r="A294" s="3" t="s">
        <v>163</v>
      </c>
      <c r="B294" s="4" t="s">
        <v>169</v>
      </c>
      <c r="C294" s="4" t="s">
        <v>170</v>
      </c>
      <c r="D294" s="3" t="n">
        <v>1.0</v>
      </c>
      <c r="E294" s="4" t="s">
        <v>84</v>
      </c>
      <c r="F294" s="4" t="s">
        <v>85</v>
      </c>
      <c r="G294" s="4" t="s">
        <v>86</v>
      </c>
      <c r="H294" s="5" t="n">
        <f>8000.0</f>
        <v>8000.0</v>
      </c>
    </row>
    <row r="295">
      <c r="A295" s="3" t="s">
        <v>163</v>
      </c>
      <c r="B295" s="4" t="s">
        <v>171</v>
      </c>
      <c r="C295" s="4" t="s">
        <v>172</v>
      </c>
      <c r="D295" s="3" t="n">
        <v>1.0</v>
      </c>
      <c r="E295" s="4" t="s">
        <v>84</v>
      </c>
      <c r="F295" s="4" t="s">
        <v>85</v>
      </c>
      <c r="G295" s="4" t="s">
        <v>86</v>
      </c>
      <c r="H295" s="5" t="n">
        <f>4000.0</f>
        <v>4000.0</v>
      </c>
    </row>
    <row r="296">
      <c r="A296" s="3" t="s">
        <v>163</v>
      </c>
      <c r="B296" s="4" t="s">
        <v>173</v>
      </c>
      <c r="C296" s="4" t="s">
        <v>174</v>
      </c>
      <c r="D296" s="3" t="n">
        <v>1.0</v>
      </c>
      <c r="E296" s="4" t="s">
        <v>13</v>
      </c>
      <c r="F296" s="4" t="s">
        <v>14</v>
      </c>
      <c r="G296" s="4" t="s">
        <v>15</v>
      </c>
      <c r="H296" s="5" t="n">
        <f>1050.0</f>
        <v>1050.0</v>
      </c>
    </row>
    <row r="297">
      <c r="A297" s="3" t="s">
        <v>163</v>
      </c>
      <c r="B297" s="4" t="s">
        <v>173</v>
      </c>
      <c r="C297" s="4" t="s">
        <v>174</v>
      </c>
      <c r="D297" s="3" t="n">
        <v>2.0</v>
      </c>
      <c r="E297" s="4" t="s">
        <v>84</v>
      </c>
      <c r="F297" s="4" t="s">
        <v>85</v>
      </c>
      <c r="G297" s="4" t="s">
        <v>86</v>
      </c>
      <c r="H297" s="5" t="n">
        <f>1000.0</f>
        <v>1000.0</v>
      </c>
    </row>
    <row r="298">
      <c r="A298" s="3" t="s">
        <v>163</v>
      </c>
      <c r="B298" s="4" t="s">
        <v>173</v>
      </c>
      <c r="C298" s="4" t="s">
        <v>174</v>
      </c>
      <c r="D298" s="3" t="n">
        <v>3.0</v>
      </c>
      <c r="E298" s="4" t="s">
        <v>166</v>
      </c>
      <c r="F298" s="4" t="s">
        <v>167</v>
      </c>
      <c r="G298" s="4" t="s">
        <v>168</v>
      </c>
      <c r="H298" s="5" t="n">
        <f>50.0</f>
        <v>50.0</v>
      </c>
    </row>
    <row r="299">
      <c r="A299" s="3" t="s">
        <v>163</v>
      </c>
      <c r="B299" s="4" t="s">
        <v>175</v>
      </c>
      <c r="C299" s="4" t="s">
        <v>176</v>
      </c>
      <c r="D299" s="3" t="n">
        <v>1.0</v>
      </c>
      <c r="E299" s="4" t="s">
        <v>84</v>
      </c>
      <c r="F299" s="4" t="s">
        <v>85</v>
      </c>
      <c r="G299" s="4" t="s">
        <v>86</v>
      </c>
      <c r="H299" s="5" t="n">
        <f>1000.0</f>
        <v>1000.0</v>
      </c>
    </row>
    <row r="300">
      <c r="A300" s="3" t="s">
        <v>163</v>
      </c>
      <c r="B300" s="4" t="s">
        <v>175</v>
      </c>
      <c r="C300" s="4" t="s">
        <v>176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1000.0</f>
        <v>1000.0</v>
      </c>
    </row>
    <row r="301">
      <c r="A301" s="3" t="s">
        <v>163</v>
      </c>
      <c r="B301" s="4" t="s">
        <v>177</v>
      </c>
      <c r="C301" s="4" t="s">
        <v>178</v>
      </c>
      <c r="D301" s="3" t="n">
        <v>1.0</v>
      </c>
      <c r="E301" s="4" t="s">
        <v>179</v>
      </c>
      <c r="F301" s="4" t="s">
        <v>180</v>
      </c>
      <c r="G301" s="4" t="s">
        <v>181</v>
      </c>
      <c r="H301" s="5" t="n">
        <f>500.0</f>
        <v>500.0</v>
      </c>
    </row>
    <row r="302">
      <c r="A302" s="3" t="s">
        <v>163</v>
      </c>
      <c r="B302" s="4" t="s">
        <v>177</v>
      </c>
      <c r="C302" s="4" t="s">
        <v>178</v>
      </c>
      <c r="D302" s="3" t="n">
        <v>1.0</v>
      </c>
      <c r="E302" s="4" t="s">
        <v>13</v>
      </c>
      <c r="F302" s="4" t="s">
        <v>14</v>
      </c>
      <c r="G302" s="4" t="s">
        <v>15</v>
      </c>
      <c r="H302" s="5" t="n">
        <f>500.0</f>
        <v>500.0</v>
      </c>
    </row>
    <row r="303">
      <c r="A303" s="3" t="s">
        <v>163</v>
      </c>
      <c r="B303" s="4" t="s">
        <v>182</v>
      </c>
      <c r="C303" s="4" t="s">
        <v>183</v>
      </c>
      <c r="D303" s="3" t="n">
        <v>1.0</v>
      </c>
      <c r="E303" s="4" t="s">
        <v>179</v>
      </c>
      <c r="F303" s="4" t="s">
        <v>180</v>
      </c>
      <c r="G303" s="4" t="s">
        <v>181</v>
      </c>
      <c r="H303" s="5" t="n">
        <f>400.0</f>
        <v>400.0</v>
      </c>
    </row>
    <row r="304">
      <c r="A304" s="3" t="s">
        <v>163</v>
      </c>
      <c r="B304" s="4" t="s">
        <v>182</v>
      </c>
      <c r="C304" s="4" t="s">
        <v>183</v>
      </c>
      <c r="D304" s="3" t="n">
        <v>1.0</v>
      </c>
      <c r="E304" s="4" t="s">
        <v>13</v>
      </c>
      <c r="F304" s="4" t="s">
        <v>14</v>
      </c>
      <c r="G304" s="4" t="s">
        <v>15</v>
      </c>
      <c r="H304" s="5" t="n">
        <f>400.0</f>
        <v>400.0</v>
      </c>
    </row>
    <row r="305">
      <c r="A305" s="3" t="s">
        <v>163</v>
      </c>
      <c r="B305" s="4" t="s">
        <v>184</v>
      </c>
      <c r="C305" s="4" t="s">
        <v>185</v>
      </c>
      <c r="D305" s="3" t="n">
        <v>1.0</v>
      </c>
      <c r="E305" s="4" t="s">
        <v>13</v>
      </c>
      <c r="F305" s="4" t="s">
        <v>14</v>
      </c>
      <c r="G305" s="4" t="s">
        <v>15</v>
      </c>
      <c r="H305" s="5" t="n">
        <f>400.0</f>
        <v>400.0</v>
      </c>
    </row>
    <row r="306">
      <c r="A306" s="3" t="s">
        <v>163</v>
      </c>
      <c r="B306" s="4" t="s">
        <v>184</v>
      </c>
      <c r="C306" s="4" t="s">
        <v>185</v>
      </c>
      <c r="D306" s="3" t="n">
        <v>1.0</v>
      </c>
      <c r="E306" s="4" t="s">
        <v>40</v>
      </c>
      <c r="F306" s="4" t="s">
        <v>41</v>
      </c>
      <c r="G306" s="4" t="s">
        <v>42</v>
      </c>
      <c r="H306" s="5" t="n">
        <f>400.0</f>
        <v>400.0</v>
      </c>
    </row>
    <row r="307">
      <c r="A307" s="3" t="s">
        <v>163</v>
      </c>
      <c r="B307" s="4" t="s">
        <v>186</v>
      </c>
      <c r="C307" s="4" t="s">
        <v>187</v>
      </c>
      <c r="D307" s="3" t="n">
        <v>1.0</v>
      </c>
      <c r="E307" s="4" t="s">
        <v>13</v>
      </c>
      <c r="F307" s="4" t="s">
        <v>14</v>
      </c>
      <c r="G307" s="4" t="s">
        <v>15</v>
      </c>
      <c r="H307" s="5" t="n">
        <f>385.0</f>
        <v>385.0</v>
      </c>
    </row>
    <row r="308">
      <c r="A308" s="3" t="s">
        <v>163</v>
      </c>
      <c r="B308" s="4" t="s">
        <v>186</v>
      </c>
      <c r="C308" s="4" t="s">
        <v>187</v>
      </c>
      <c r="D308" s="3" t="n">
        <v>1.0</v>
      </c>
      <c r="E308" s="4" t="s">
        <v>52</v>
      </c>
      <c r="F308" s="4" t="s">
        <v>53</v>
      </c>
      <c r="G308" s="4" t="s">
        <v>54</v>
      </c>
      <c r="H308" s="5" t="n">
        <f>385.0</f>
        <v>385.0</v>
      </c>
    </row>
    <row r="309">
      <c r="A309" s="3" t="s">
        <v>163</v>
      </c>
      <c r="B309" s="4" t="s">
        <v>188</v>
      </c>
      <c r="C309" s="4" t="s">
        <v>189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260.0</f>
        <v>260.0</v>
      </c>
    </row>
    <row r="310">
      <c r="A310" s="3" t="s">
        <v>163</v>
      </c>
      <c r="B310" s="4" t="s">
        <v>188</v>
      </c>
      <c r="C310" s="4" t="s">
        <v>189</v>
      </c>
      <c r="D310" s="3" t="n">
        <v>1.0</v>
      </c>
      <c r="E310" s="4" t="s">
        <v>52</v>
      </c>
      <c r="F310" s="4" t="s">
        <v>53</v>
      </c>
      <c r="G310" s="4" t="s">
        <v>54</v>
      </c>
      <c r="H310" s="5" t="n">
        <f>260.0</f>
        <v>260.0</v>
      </c>
    </row>
    <row r="311">
      <c r="A311" s="3" t="s">
        <v>163</v>
      </c>
      <c r="B311" s="4" t="s">
        <v>190</v>
      </c>
      <c r="C311" s="4" t="s">
        <v>191</v>
      </c>
      <c r="D311" s="3" t="n">
        <v>1.0</v>
      </c>
      <c r="E311" s="4" t="s">
        <v>13</v>
      </c>
      <c r="F311" s="4" t="s">
        <v>14</v>
      </c>
      <c r="G311" s="4" t="s">
        <v>15</v>
      </c>
      <c r="H311" s="5" t="n">
        <f>208.0</f>
        <v>208.0</v>
      </c>
    </row>
    <row r="312">
      <c r="A312" s="3" t="s">
        <v>163</v>
      </c>
      <c r="B312" s="4" t="s">
        <v>190</v>
      </c>
      <c r="C312" s="4" t="s">
        <v>191</v>
      </c>
      <c r="D312" s="3" t="n">
        <v>2.0</v>
      </c>
      <c r="E312" s="4" t="s">
        <v>40</v>
      </c>
      <c r="F312" s="4" t="s">
        <v>41</v>
      </c>
      <c r="G312" s="4" t="s">
        <v>42</v>
      </c>
      <c r="H312" s="5" t="n">
        <f>200.0</f>
        <v>200.0</v>
      </c>
    </row>
    <row r="313">
      <c r="A313" s="3" t="s">
        <v>163</v>
      </c>
      <c r="B313" s="4" t="s">
        <v>192</v>
      </c>
      <c r="C313" s="4" t="s">
        <v>193</v>
      </c>
      <c r="D313" s="3" t="n">
        <v>1.0</v>
      </c>
      <c r="E313" s="4" t="s">
        <v>13</v>
      </c>
      <c r="F313" s="4" t="s">
        <v>14</v>
      </c>
      <c r="G313" s="4" t="s">
        <v>15</v>
      </c>
      <c r="H313" s="5" t="n">
        <f>205.0</f>
        <v>205.0</v>
      </c>
    </row>
    <row r="314">
      <c r="A314" s="3" t="s">
        <v>163</v>
      </c>
      <c r="B314" s="4" t="s">
        <v>192</v>
      </c>
      <c r="C314" s="4" t="s">
        <v>193</v>
      </c>
      <c r="D314" s="3" t="n">
        <v>2.0</v>
      </c>
      <c r="E314" s="4" t="s">
        <v>40</v>
      </c>
      <c r="F314" s="4" t="s">
        <v>41</v>
      </c>
      <c r="G314" s="4" t="s">
        <v>42</v>
      </c>
      <c r="H314" s="5" t="n">
        <f>200.0</f>
        <v>200.0</v>
      </c>
    </row>
    <row r="315">
      <c r="A315" s="3" t="s">
        <v>163</v>
      </c>
      <c r="B315" s="4" t="s">
        <v>194</v>
      </c>
      <c r="C315" s="4" t="s">
        <v>195</v>
      </c>
      <c r="D315" s="3" t="n">
        <v>1.0</v>
      </c>
      <c r="E315" s="4" t="s">
        <v>179</v>
      </c>
      <c r="F315" s="4" t="s">
        <v>180</v>
      </c>
      <c r="G315" s="4" t="s">
        <v>181</v>
      </c>
      <c r="H315" s="5" t="n">
        <f>200.0</f>
        <v>200.0</v>
      </c>
    </row>
    <row r="316">
      <c r="A316" s="3" t="s">
        <v>163</v>
      </c>
      <c r="B316" s="4" t="s">
        <v>194</v>
      </c>
      <c r="C316" s="4" t="s">
        <v>195</v>
      </c>
      <c r="D316" s="3" t="n">
        <v>1.0</v>
      </c>
      <c r="E316" s="4" t="s">
        <v>13</v>
      </c>
      <c r="F316" s="4" t="s">
        <v>14</v>
      </c>
      <c r="G316" s="4" t="s">
        <v>15</v>
      </c>
      <c r="H316" s="5" t="n">
        <f>200.0</f>
        <v>200.0</v>
      </c>
    </row>
    <row r="317">
      <c r="A317" s="3" t="s">
        <v>163</v>
      </c>
      <c r="B317" s="4" t="s">
        <v>196</v>
      </c>
      <c r="C317" s="4" t="s">
        <v>197</v>
      </c>
      <c r="D317" s="3" t="n">
        <v>1.0</v>
      </c>
      <c r="E317" s="4" t="s">
        <v>179</v>
      </c>
      <c r="F317" s="4" t="s">
        <v>180</v>
      </c>
      <c r="G317" s="4" t="s">
        <v>181</v>
      </c>
      <c r="H317" s="5" t="n">
        <f>200.0</f>
        <v>200.0</v>
      </c>
    </row>
    <row r="318">
      <c r="A318" s="3" t="s">
        <v>163</v>
      </c>
      <c r="B318" s="4" t="s">
        <v>196</v>
      </c>
      <c r="C318" s="4" t="s">
        <v>197</v>
      </c>
      <c r="D318" s="3" t="n">
        <v>1.0</v>
      </c>
      <c r="E318" s="4" t="s">
        <v>13</v>
      </c>
      <c r="F318" s="4" t="s">
        <v>14</v>
      </c>
      <c r="G318" s="4" t="s">
        <v>15</v>
      </c>
      <c r="H318" s="5" t="n">
        <f>200.0</f>
        <v>200.0</v>
      </c>
    </row>
    <row r="319">
      <c r="A319" s="3" t="s">
        <v>163</v>
      </c>
      <c r="B319" s="4" t="s">
        <v>198</v>
      </c>
      <c r="C319" s="4" t="s">
        <v>199</v>
      </c>
      <c r="D319" s="3" t="n">
        <v>1.0</v>
      </c>
      <c r="E319" s="4" t="s">
        <v>13</v>
      </c>
      <c r="F319" s="4" t="s">
        <v>14</v>
      </c>
      <c r="G319" s="4" t="s">
        <v>15</v>
      </c>
      <c r="H319" s="5" t="n">
        <f>200.0</f>
        <v>200.0</v>
      </c>
    </row>
    <row r="320">
      <c r="A320" s="3" t="s">
        <v>163</v>
      </c>
      <c r="B320" s="4" t="s">
        <v>198</v>
      </c>
      <c r="C320" s="4" t="s">
        <v>199</v>
      </c>
      <c r="D320" s="3" t="n">
        <v>1.0</v>
      </c>
      <c r="E320" s="4" t="s">
        <v>40</v>
      </c>
      <c r="F320" s="4" t="s">
        <v>41</v>
      </c>
      <c r="G320" s="4" t="s">
        <v>42</v>
      </c>
      <c r="H320" s="5" t="n">
        <f>200.0</f>
        <v>200.0</v>
      </c>
    </row>
    <row r="321">
      <c r="A321" s="3" t="s">
        <v>163</v>
      </c>
      <c r="B321" s="4" t="s">
        <v>200</v>
      </c>
      <c r="C321" s="4" t="s">
        <v>201</v>
      </c>
      <c r="D321" s="3" t="n">
        <v>1.0</v>
      </c>
      <c r="E321" s="4" t="s">
        <v>13</v>
      </c>
      <c r="F321" s="4" t="s">
        <v>14</v>
      </c>
      <c r="G321" s="4" t="s">
        <v>15</v>
      </c>
      <c r="H321" s="5" t="n">
        <f>163.0</f>
        <v>163.0</v>
      </c>
    </row>
    <row r="322">
      <c r="A322" s="3" t="s">
        <v>163</v>
      </c>
      <c r="B322" s="4" t="s">
        <v>200</v>
      </c>
      <c r="C322" s="4" t="s">
        <v>201</v>
      </c>
      <c r="D322" s="3" t="n">
        <v>1.0</v>
      </c>
      <c r="E322" s="4" t="s">
        <v>52</v>
      </c>
      <c r="F322" s="4" t="s">
        <v>53</v>
      </c>
      <c r="G322" s="4" t="s">
        <v>54</v>
      </c>
      <c r="H322" s="5" t="n">
        <f>163.0</f>
        <v>163.0</v>
      </c>
    </row>
    <row r="323">
      <c r="A323" s="3" t="s">
        <v>163</v>
      </c>
      <c r="B323" s="4" t="s">
        <v>202</v>
      </c>
      <c r="C323" s="4" t="s">
        <v>203</v>
      </c>
      <c r="D323" s="3" t="n">
        <v>1.0</v>
      </c>
      <c r="E323" s="4" t="s">
        <v>49</v>
      </c>
      <c r="F323" s="4" t="s">
        <v>50</v>
      </c>
      <c r="G323" s="4" t="s">
        <v>51</v>
      </c>
      <c r="H323" s="5" t="n">
        <f>150.0</f>
        <v>150.0</v>
      </c>
    </row>
    <row r="324">
      <c r="A324" s="3" t="s">
        <v>163</v>
      </c>
      <c r="B324" s="4" t="s">
        <v>202</v>
      </c>
      <c r="C324" s="4" t="s">
        <v>203</v>
      </c>
      <c r="D324" s="3" t="n">
        <v>1.0</v>
      </c>
      <c r="E324" s="4" t="s">
        <v>13</v>
      </c>
      <c r="F324" s="4" t="s">
        <v>14</v>
      </c>
      <c r="G324" s="4" t="s">
        <v>15</v>
      </c>
      <c r="H324" s="5" t="n">
        <f>150.0</f>
        <v>150.0</v>
      </c>
    </row>
    <row r="325">
      <c r="A325" s="3" t="s">
        <v>163</v>
      </c>
      <c r="B325" s="4" t="s">
        <v>204</v>
      </c>
      <c r="C325" s="4" t="s">
        <v>205</v>
      </c>
      <c r="D325" s="3" t="n">
        <v>1.0</v>
      </c>
      <c r="E325" s="4" t="s">
        <v>13</v>
      </c>
      <c r="F325" s="4" t="s">
        <v>14</v>
      </c>
      <c r="G325" s="4" t="s">
        <v>15</v>
      </c>
      <c r="H325" s="5" t="n">
        <f>120.0</f>
        <v>120.0</v>
      </c>
    </row>
    <row r="326">
      <c r="A326" s="3" t="s">
        <v>163</v>
      </c>
      <c r="B326" s="4" t="s">
        <v>204</v>
      </c>
      <c r="C326" s="4" t="s">
        <v>205</v>
      </c>
      <c r="D326" s="3" t="n">
        <v>1.0</v>
      </c>
      <c r="E326" s="4" t="s">
        <v>52</v>
      </c>
      <c r="F326" s="4" t="s">
        <v>53</v>
      </c>
      <c r="G326" s="4" t="s">
        <v>54</v>
      </c>
      <c r="H326" s="5" t="n">
        <f>120.0</f>
        <v>120.0</v>
      </c>
    </row>
    <row r="327">
      <c r="A327" s="3" t="s">
        <v>163</v>
      </c>
      <c r="B327" s="4" t="s">
        <v>206</v>
      </c>
      <c r="C327" s="4" t="s">
        <v>207</v>
      </c>
      <c r="D327" s="3" t="n">
        <v>1.0</v>
      </c>
      <c r="E327" s="4" t="s">
        <v>13</v>
      </c>
      <c r="F327" s="4" t="s">
        <v>14</v>
      </c>
      <c r="G327" s="4" t="s">
        <v>15</v>
      </c>
      <c r="H327" s="5" t="n">
        <f>116.0</f>
        <v>116.0</v>
      </c>
    </row>
    <row r="328">
      <c r="A328" s="3" t="s">
        <v>163</v>
      </c>
      <c r="B328" s="4" t="s">
        <v>206</v>
      </c>
      <c r="C328" s="4" t="s">
        <v>207</v>
      </c>
      <c r="D328" s="3" t="n">
        <v>1.0</v>
      </c>
      <c r="E328" s="4" t="s">
        <v>52</v>
      </c>
      <c r="F328" s="4" t="s">
        <v>53</v>
      </c>
      <c r="G328" s="4" t="s">
        <v>54</v>
      </c>
      <c r="H328" s="5" t="n">
        <f>116.0</f>
        <v>116.0</v>
      </c>
    </row>
    <row r="329">
      <c r="A329" s="3" t="s">
        <v>163</v>
      </c>
      <c r="B329" s="4" t="s">
        <v>208</v>
      </c>
      <c r="C329" s="4" t="s">
        <v>209</v>
      </c>
      <c r="D329" s="3" t="n">
        <v>1.0</v>
      </c>
      <c r="E329" s="4" t="s">
        <v>13</v>
      </c>
      <c r="F329" s="4" t="s">
        <v>14</v>
      </c>
      <c r="G329" s="4" t="s">
        <v>15</v>
      </c>
      <c r="H329" s="5" t="n">
        <f>111.0</f>
        <v>111.0</v>
      </c>
    </row>
    <row r="330">
      <c r="A330" s="3" t="s">
        <v>163</v>
      </c>
      <c r="B330" s="4" t="s">
        <v>208</v>
      </c>
      <c r="C330" s="4" t="s">
        <v>209</v>
      </c>
      <c r="D330" s="3" t="n">
        <v>1.0</v>
      </c>
      <c r="E330" s="4" t="s">
        <v>52</v>
      </c>
      <c r="F330" s="4" t="s">
        <v>53</v>
      </c>
      <c r="G330" s="4" t="s">
        <v>54</v>
      </c>
      <c r="H330" s="5" t="n">
        <f>111.0</f>
        <v>111.0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